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Hoja1!$A$1:$E$1</definedName>
  </definedNames>
  <calcPr/>
  <extLst>
    <ext uri="GoogleSheetsCustomDataVersion2">
      <go:sheetsCustomData xmlns:go="http://customooxmlschemas.google.com/" r:id="rId5" roundtripDataChecksum="a3DgnYohMRmORlUTts6e00TpeHC6XNCHZPKRryW2Ie4="/>
    </ext>
  </extLst>
</workbook>
</file>

<file path=xl/sharedStrings.xml><?xml version="1.0" encoding="utf-8"?>
<sst xmlns="http://schemas.openxmlformats.org/spreadsheetml/2006/main" count="1380" uniqueCount="192">
  <si>
    <t>CP</t>
  </si>
  <si>
    <t>IDSAMPLE</t>
  </si>
  <si>
    <t>Elevation</t>
  </si>
  <si>
    <t>Xm</t>
  </si>
  <si>
    <t>Ym</t>
  </si>
  <si>
    <t>From</t>
  </si>
  <si>
    <t>To</t>
  </si>
  <si>
    <t>HORIZONTE</t>
  </si>
  <si>
    <t>ROCA CAJA</t>
  </si>
  <si>
    <t>ESTRUCTURA</t>
  </si>
  <si>
    <t>RUMBO</t>
  </si>
  <si>
    <t>MANTEO</t>
  </si>
  <si>
    <t>MINERALES</t>
  </si>
  <si>
    <t>ALTERACION</t>
  </si>
  <si>
    <t>MINERALIZA</t>
  </si>
  <si>
    <t>COMENTARIO</t>
  </si>
  <si>
    <t>TAKEN BY</t>
  </si>
  <si>
    <t>Al2O3</t>
  </si>
  <si>
    <t>Al2O3 Err</t>
  </si>
  <si>
    <t>SiO2</t>
  </si>
  <si>
    <t>SiO2 Err</t>
  </si>
  <si>
    <t>S</t>
  </si>
  <si>
    <t>S Err</t>
  </si>
  <si>
    <t>K</t>
  </si>
  <si>
    <t>K Err</t>
  </si>
  <si>
    <t>Ca</t>
  </si>
  <si>
    <t>Ca Err</t>
  </si>
  <si>
    <t>Ti</t>
  </si>
  <si>
    <t>Ti Err</t>
  </si>
  <si>
    <t>V</t>
  </si>
  <si>
    <t>V Err</t>
  </si>
  <si>
    <t>Cr</t>
  </si>
  <si>
    <t>Cr Err</t>
  </si>
  <si>
    <t>Mn</t>
  </si>
  <si>
    <t>Mn Err</t>
  </si>
  <si>
    <t>Fe</t>
  </si>
  <si>
    <t>Fe Err</t>
  </si>
  <si>
    <t>Co</t>
  </si>
  <si>
    <t>Co Err</t>
  </si>
  <si>
    <t>Ni</t>
  </si>
  <si>
    <t>Ni Err</t>
  </si>
  <si>
    <t>Cu</t>
  </si>
  <si>
    <t>Cu Err</t>
  </si>
  <si>
    <t>Zn</t>
  </si>
  <si>
    <t>Zn Err</t>
  </si>
  <si>
    <t>Ga</t>
  </si>
  <si>
    <t>Ga Err</t>
  </si>
  <si>
    <t>As</t>
  </si>
  <si>
    <t>As Err</t>
  </si>
  <si>
    <t>Se</t>
  </si>
  <si>
    <t>Se Err</t>
  </si>
  <si>
    <t>Rb</t>
  </si>
  <si>
    <t>Rb Err</t>
  </si>
  <si>
    <t>Sr</t>
  </si>
  <si>
    <t>Sr Err</t>
  </si>
  <si>
    <t>Y%</t>
  </si>
  <si>
    <t>Yppm</t>
  </si>
  <si>
    <t>Ypond</t>
  </si>
  <si>
    <t>Y Err</t>
  </si>
  <si>
    <t>Zr</t>
  </si>
  <si>
    <t>Zr Err</t>
  </si>
  <si>
    <t>Mo</t>
  </si>
  <si>
    <t>Mo Err</t>
  </si>
  <si>
    <t>Pd</t>
  </si>
  <si>
    <t>Pd Err</t>
  </si>
  <si>
    <t>Ag</t>
  </si>
  <si>
    <t>Ag Err</t>
  </si>
  <si>
    <t>Cd</t>
  </si>
  <si>
    <t>Cd Err</t>
  </si>
  <si>
    <t>In</t>
  </si>
  <si>
    <t>In Err</t>
  </si>
  <si>
    <t>Sn</t>
  </si>
  <si>
    <t>Sn Err</t>
  </si>
  <si>
    <t>Sb</t>
  </si>
  <si>
    <t>Sb Err</t>
  </si>
  <si>
    <t>Te</t>
  </si>
  <si>
    <t>Te Err</t>
  </si>
  <si>
    <t>Ba</t>
  </si>
  <si>
    <t>Ba Err</t>
  </si>
  <si>
    <t>W</t>
  </si>
  <si>
    <t>W Err</t>
  </si>
  <si>
    <t>Pt</t>
  </si>
  <si>
    <t>Pt Err</t>
  </si>
  <si>
    <t>Au</t>
  </si>
  <si>
    <t>Au Err</t>
  </si>
  <si>
    <t>Hg</t>
  </si>
  <si>
    <t>Hg Err</t>
  </si>
  <si>
    <t>Pb</t>
  </si>
  <si>
    <t>Pb Err</t>
  </si>
  <si>
    <t>Bi</t>
  </si>
  <si>
    <t>Bi Err</t>
  </si>
  <si>
    <t>U</t>
  </si>
  <si>
    <t>´--</t>
  </si>
  <si>
    <t>QUI-CA01</t>
  </si>
  <si>
    <t>SR</t>
  </si>
  <si>
    <t>Granito</t>
  </si>
  <si>
    <t>&lt; LOD</t>
  </si>
  <si>
    <t>´-</t>
  </si>
  <si>
    <t>US</t>
  </si>
  <si>
    <t>´+-</t>
  </si>
  <si>
    <t>Lp</t>
  </si>
  <si>
    <t>´+</t>
  </si>
  <si>
    <t>QUI-CA02</t>
  </si>
  <si>
    <t>LP/US</t>
  </si>
  <si>
    <t>´++</t>
  </si>
  <si>
    <t>QUI-CA03</t>
  </si>
  <si>
    <t>LP</t>
  </si>
  <si>
    <t>QUI-CA05</t>
  </si>
  <si>
    <t>UP</t>
  </si>
  <si>
    <t>QUI-CA09</t>
  </si>
  <si>
    <t>Granodiorita</t>
  </si>
  <si>
    <t>1Kaol</t>
  </si>
  <si>
    <t>1 OxFe</t>
  </si>
  <si>
    <t>QUI-CA10</t>
  </si>
  <si>
    <t>2Kaol</t>
  </si>
  <si>
    <t>2OxFe</t>
  </si>
  <si>
    <t>QUI-CA11</t>
  </si>
  <si>
    <t>QUI-CA13</t>
  </si>
  <si>
    <t>Diorita</t>
  </si>
  <si>
    <t>4OxFe</t>
  </si>
  <si>
    <t>talud barreno</t>
  </si>
  <si>
    <t>QUI-CA14</t>
  </si>
  <si>
    <t>Aplita?</t>
  </si>
  <si>
    <t>3OxFe</t>
  </si>
  <si>
    <t>QUI-CA15</t>
  </si>
  <si>
    <t>QUI-CA16</t>
  </si>
  <si>
    <t>QUI-CA17</t>
  </si>
  <si>
    <t>QUI-CA18</t>
  </si>
  <si>
    <t>falla</t>
  </si>
  <si>
    <t>N70</t>
  </si>
  <si>
    <t>40SW</t>
  </si>
  <si>
    <t>QUI-CA19</t>
  </si>
  <si>
    <t>US/LP</t>
  </si>
  <si>
    <t>QUI-CA20</t>
  </si>
  <si>
    <t>Kaolinita</t>
  </si>
  <si>
    <t>3Kaol</t>
  </si>
  <si>
    <t>QUI-CA21</t>
  </si>
  <si>
    <t>5OxFe</t>
  </si>
  <si>
    <t>QUI-CA22</t>
  </si>
  <si>
    <t>QUI-CA23</t>
  </si>
  <si>
    <t>QUI-CA24</t>
  </si>
  <si>
    <t>Qz,Chl,Bt,Kaol</t>
  </si>
  <si>
    <t>QUI-CA25</t>
  </si>
  <si>
    <t>Qz,Bt</t>
  </si>
  <si>
    <t>QUI-CA26</t>
  </si>
  <si>
    <t>QUI-CA27</t>
  </si>
  <si>
    <t>Diotrita?</t>
  </si>
  <si>
    <t>UP/LP</t>
  </si>
  <si>
    <t>QUI-CA28</t>
  </si>
  <si>
    <t>QUI-CA29</t>
  </si>
  <si>
    <t>US?</t>
  </si>
  <si>
    <t>Granito de Biotita</t>
  </si>
  <si>
    <t>LP?</t>
  </si>
  <si>
    <t>QUI-CA30</t>
  </si>
  <si>
    <t>LP/UP</t>
  </si>
  <si>
    <t>QUI-CA31</t>
  </si>
  <si>
    <t>micas,</t>
  </si>
  <si>
    <t>QUI-CA32</t>
  </si>
  <si>
    <t>--Qz</t>
  </si>
  <si>
    <t>QUI-CA33</t>
  </si>
  <si>
    <t>LS</t>
  </si>
  <si>
    <t>Mn,</t>
  </si>
  <si>
    <t>QUI-CA34</t>
  </si>
  <si>
    <t>Granito de Biotita?</t>
  </si>
  <si>
    <t>+-Qz</t>
  </si>
  <si>
    <t>Granito cortado por dique fino</t>
  </si>
  <si>
    <t>QUI-CA35</t>
  </si>
  <si>
    <t>MP</t>
  </si>
  <si>
    <t>3Qz</t>
  </si>
  <si>
    <t>QUI-CA36</t>
  </si>
  <si>
    <t>QUI-CA37</t>
  </si>
  <si>
    <t>Bolones de intrusivo</t>
  </si>
  <si>
    <t>QUI-CA38</t>
  </si>
  <si>
    <t>BR</t>
  </si>
  <si>
    <t>BR1</t>
  </si>
  <si>
    <t>BR11</t>
  </si>
  <si>
    <t>BR2</t>
  </si>
  <si>
    <t>BR21</t>
  </si>
  <si>
    <t>BR3</t>
  </si>
  <si>
    <t>BR31</t>
  </si>
  <si>
    <t>BR4</t>
  </si>
  <si>
    <t>BR5</t>
  </si>
  <si>
    <t>GB SR</t>
  </si>
  <si>
    <t>MP1</t>
  </si>
  <si>
    <t>MP2</t>
  </si>
  <si>
    <t>PL001</t>
  </si>
  <si>
    <t>PL002</t>
  </si>
  <si>
    <t>QUI-CA04</t>
  </si>
  <si>
    <t>QUI-CA06</t>
  </si>
  <si>
    <t>QUI-CA07</t>
  </si>
  <si>
    <t>QUI-CA08</t>
  </si>
  <si>
    <t>QUI-CA12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</si>
</sst>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5"/>
    <col customWidth="1" min="9" max="9" width="14.75"/>
    <col customWidth="1" min="10" max="12" width="11.5"/>
    <col customWidth="1" min="13" max="13" width="12.5"/>
    <col customWidth="1" min="14" max="17" width="11.5"/>
    <col customWidth="1" hidden="1" min="18" max="55" width="10.63"/>
    <col customWidth="1" min="56" max="58" width="11.5"/>
    <col customWidth="1" hidden="1" min="59" max="93" width="10.63"/>
    <col customWidth="1" min="94" max="103" width="11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/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/>
      <c r="CQ1" s="1"/>
      <c r="CR1" s="1"/>
      <c r="CS1" s="1"/>
      <c r="CT1" s="1"/>
      <c r="CU1" s="1"/>
      <c r="CV1" s="1"/>
      <c r="CW1" s="1"/>
      <c r="CX1" s="1">
        <v>1.0</v>
      </c>
      <c r="CY1" s="1" t="s">
        <v>92</v>
      </c>
    </row>
    <row r="2" ht="14.25" customHeight="1">
      <c r="A2" s="1" t="s">
        <v>93</v>
      </c>
      <c r="B2" s="1">
        <v>1139859.0</v>
      </c>
      <c r="C2" s="3">
        <v>133.6</v>
      </c>
      <c r="D2" s="3">
        <v>742515.307231</v>
      </c>
      <c r="E2" s="3">
        <v>6002315.102164</v>
      </c>
      <c r="F2" s="4">
        <v>0.0</v>
      </c>
      <c r="G2" s="4">
        <v>1.0</v>
      </c>
      <c r="H2" s="5" t="s">
        <v>94</v>
      </c>
      <c r="I2" s="1" t="s">
        <v>95</v>
      </c>
      <c r="J2" s="1"/>
      <c r="K2" s="1"/>
      <c r="L2" s="1"/>
      <c r="M2" s="2"/>
      <c r="N2" s="2"/>
      <c r="O2" s="1"/>
      <c r="P2" s="1"/>
      <c r="Q2" s="1"/>
      <c r="R2" s="1">
        <v>6.554</v>
      </c>
      <c r="S2" s="1">
        <v>0.2038</v>
      </c>
      <c r="T2" s="1">
        <v>18.0135</v>
      </c>
      <c r="U2" s="1">
        <v>0.1916</v>
      </c>
      <c r="V2" s="1" t="s">
        <v>96</v>
      </c>
      <c r="W2" s="1">
        <v>1.185</v>
      </c>
      <c r="X2" s="1">
        <v>2.0358</v>
      </c>
      <c r="Y2" s="1">
        <v>0.7339</v>
      </c>
      <c r="Z2" s="1">
        <v>0.3311</v>
      </c>
      <c r="AA2" s="1">
        <v>0.1111</v>
      </c>
      <c r="AB2" s="1">
        <v>0.9397</v>
      </c>
      <c r="AC2" s="1">
        <v>0.1101</v>
      </c>
      <c r="AD2" s="1">
        <v>0.0246</v>
      </c>
      <c r="AE2" s="1">
        <v>0.02</v>
      </c>
      <c r="AF2" s="1" t="s">
        <v>96</v>
      </c>
      <c r="AG2" s="1">
        <v>0.0108</v>
      </c>
      <c r="AH2" s="1">
        <v>0.1221</v>
      </c>
      <c r="AI2" s="1">
        <v>0.0234</v>
      </c>
      <c r="AJ2" s="1">
        <v>3.5706</v>
      </c>
      <c r="AK2" s="1">
        <v>0.0752</v>
      </c>
      <c r="AL2" s="1" t="s">
        <v>96</v>
      </c>
      <c r="AM2" s="1">
        <v>0.0181</v>
      </c>
      <c r="AN2" s="1" t="s">
        <v>96</v>
      </c>
      <c r="AO2" s="1">
        <v>0.0038</v>
      </c>
      <c r="AP2" s="1">
        <v>0.0091</v>
      </c>
      <c r="AQ2" s="1">
        <v>0.002</v>
      </c>
      <c r="AR2" s="1">
        <v>0.0053</v>
      </c>
      <c r="AS2" s="1">
        <v>0.0019</v>
      </c>
      <c r="AT2" s="1" t="s">
        <v>96</v>
      </c>
      <c r="AU2" s="1">
        <v>0.0041</v>
      </c>
      <c r="AV2" s="1" t="s">
        <v>96</v>
      </c>
      <c r="AW2" s="1">
        <v>0.0059</v>
      </c>
      <c r="AX2" s="1" t="s">
        <v>96</v>
      </c>
      <c r="AY2" s="1">
        <v>5.0E-4</v>
      </c>
      <c r="AZ2" s="1">
        <v>0.0112</v>
      </c>
      <c r="BA2" s="1">
        <v>0.0013</v>
      </c>
      <c r="BB2" s="1">
        <v>0.0065</v>
      </c>
      <c r="BC2" s="1">
        <v>9.0E-4</v>
      </c>
      <c r="BD2" s="1">
        <v>0.003</v>
      </c>
      <c r="BE2" s="1">
        <f t="shared" ref="BE2:BE60" si="1">BD2*10000</f>
        <v>30</v>
      </c>
      <c r="BF2" s="3">
        <f t="shared" ref="BF2:BF60" si="2">BE2*1.15</f>
        <v>34.5</v>
      </c>
      <c r="BG2" s="1">
        <v>5.0E-4</v>
      </c>
      <c r="BH2" s="1"/>
      <c r="BI2" s="1">
        <v>0.0377</v>
      </c>
      <c r="BJ2" s="1">
        <v>0.0017</v>
      </c>
      <c r="BK2" s="1" t="s">
        <v>96</v>
      </c>
      <c r="BL2" s="1">
        <v>0.0047</v>
      </c>
      <c r="BM2" s="1" t="s">
        <v>96</v>
      </c>
      <c r="BN2" s="1">
        <v>0.0028</v>
      </c>
      <c r="BO2" s="1" t="s">
        <v>96</v>
      </c>
      <c r="BP2" s="1">
        <v>0.0172</v>
      </c>
      <c r="BQ2" s="1" t="s">
        <v>96</v>
      </c>
      <c r="BR2" s="1">
        <v>0.0029</v>
      </c>
      <c r="BS2" s="1">
        <v>0.0136</v>
      </c>
      <c r="BT2" s="1">
        <v>0.0037</v>
      </c>
      <c r="BU2" s="1" t="s">
        <v>96</v>
      </c>
      <c r="BV2" s="1">
        <v>0.0052</v>
      </c>
      <c r="BW2" s="1" t="s">
        <v>96</v>
      </c>
      <c r="BX2" s="1">
        <v>0.0043</v>
      </c>
      <c r="BY2" s="1" t="s">
        <v>96</v>
      </c>
      <c r="BZ2" s="1">
        <v>0.0013</v>
      </c>
      <c r="CA2" s="1">
        <v>0.061</v>
      </c>
      <c r="CB2" s="1">
        <v>0.013</v>
      </c>
      <c r="CC2" s="1" t="s">
        <v>96</v>
      </c>
      <c r="CD2" s="1">
        <v>0.0031</v>
      </c>
      <c r="CE2" s="1"/>
      <c r="CF2" s="1"/>
      <c r="CG2" s="1" t="s">
        <v>96</v>
      </c>
      <c r="CH2" s="1">
        <v>2.0E-4</v>
      </c>
      <c r="CI2" s="1"/>
      <c r="CJ2" s="1"/>
      <c r="CK2" s="1" t="s">
        <v>96</v>
      </c>
      <c r="CL2" s="1">
        <v>0.0023</v>
      </c>
      <c r="CM2" s="1" t="s">
        <v>96</v>
      </c>
      <c r="CN2" s="1">
        <v>0.002</v>
      </c>
      <c r="CO2" s="1">
        <v>0.0014</v>
      </c>
      <c r="CP2" s="1"/>
      <c r="CQ2" s="1"/>
      <c r="CR2" s="1"/>
      <c r="CS2" s="1"/>
      <c r="CT2" s="1"/>
      <c r="CU2" s="1"/>
      <c r="CV2" s="1"/>
      <c r="CW2" s="1"/>
      <c r="CX2" s="1">
        <v>2.0</v>
      </c>
      <c r="CY2" s="1" t="s">
        <v>97</v>
      </c>
    </row>
    <row r="3" ht="14.25" customHeight="1">
      <c r="A3" s="1" t="s">
        <v>93</v>
      </c>
      <c r="B3" s="1">
        <v>1139860.0</v>
      </c>
      <c r="C3" s="3">
        <v>133.6</v>
      </c>
      <c r="D3" s="3">
        <v>742515.307231</v>
      </c>
      <c r="E3" s="3">
        <v>6002315.102164</v>
      </c>
      <c r="F3" s="4">
        <v>1.0</v>
      </c>
      <c r="G3" s="4">
        <v>2.0</v>
      </c>
      <c r="H3" s="5" t="s">
        <v>98</v>
      </c>
      <c r="I3" s="1" t="s">
        <v>95</v>
      </c>
      <c r="J3" s="1"/>
      <c r="K3" s="1"/>
      <c r="L3" s="1"/>
      <c r="M3" s="2"/>
      <c r="N3" s="2"/>
      <c r="O3" s="1"/>
      <c r="P3" s="1"/>
      <c r="Q3" s="1"/>
      <c r="R3" s="1">
        <v>5.9178</v>
      </c>
      <c r="S3" s="1">
        <v>0.1758</v>
      </c>
      <c r="T3" s="1">
        <v>17.6004</v>
      </c>
      <c r="U3" s="1">
        <v>0.1721</v>
      </c>
      <c r="V3" s="1" t="s">
        <v>96</v>
      </c>
      <c r="W3" s="1">
        <v>1.099</v>
      </c>
      <c r="X3" s="1">
        <v>1.5078</v>
      </c>
      <c r="Y3" s="1">
        <v>0.6461</v>
      </c>
      <c r="Z3" s="1">
        <v>0.2134</v>
      </c>
      <c r="AA3" s="1">
        <v>0.0883</v>
      </c>
      <c r="AB3" s="1">
        <v>0.7081</v>
      </c>
      <c r="AC3" s="1">
        <v>0.0987</v>
      </c>
      <c r="AD3" s="1" t="s">
        <v>96</v>
      </c>
      <c r="AE3" s="1">
        <v>0.018</v>
      </c>
      <c r="AF3" s="1" t="s">
        <v>96</v>
      </c>
      <c r="AG3" s="1">
        <v>0.0097</v>
      </c>
      <c r="AH3" s="1">
        <v>0.0812</v>
      </c>
      <c r="AI3" s="1">
        <v>0.0197</v>
      </c>
      <c r="AJ3" s="1">
        <v>2.8376</v>
      </c>
      <c r="AK3" s="1">
        <v>0.0708</v>
      </c>
      <c r="AL3" s="1" t="s">
        <v>96</v>
      </c>
      <c r="AM3" s="1">
        <v>0.0144</v>
      </c>
      <c r="AN3" s="1" t="s">
        <v>96</v>
      </c>
      <c r="AO3" s="1">
        <v>0.0031</v>
      </c>
      <c r="AP3" s="1">
        <v>0.0059</v>
      </c>
      <c r="AQ3" s="1">
        <v>0.0019</v>
      </c>
      <c r="AR3" s="1">
        <v>0.0038</v>
      </c>
      <c r="AS3" s="1">
        <v>0.0017</v>
      </c>
      <c r="AT3" s="1" t="s">
        <v>96</v>
      </c>
      <c r="AU3" s="1">
        <v>0.0035</v>
      </c>
      <c r="AV3" s="1" t="s">
        <v>96</v>
      </c>
      <c r="AW3" s="1">
        <v>0.0065</v>
      </c>
      <c r="AX3" s="1" t="s">
        <v>96</v>
      </c>
      <c r="AY3" s="1">
        <v>6.0E-4</v>
      </c>
      <c r="AZ3" s="1">
        <v>0.0137</v>
      </c>
      <c r="BA3" s="1">
        <v>0.0014</v>
      </c>
      <c r="BB3" s="1">
        <v>0.007</v>
      </c>
      <c r="BC3" s="1">
        <v>0.001</v>
      </c>
      <c r="BD3" s="1">
        <v>0.0031</v>
      </c>
      <c r="BE3" s="1">
        <f t="shared" si="1"/>
        <v>31</v>
      </c>
      <c r="BF3" s="3">
        <f t="shared" si="2"/>
        <v>35.65</v>
      </c>
      <c r="BG3" s="1">
        <v>5.0E-4</v>
      </c>
      <c r="BH3" s="1"/>
      <c r="BI3" s="1">
        <v>0.0348</v>
      </c>
      <c r="BJ3" s="1">
        <v>0.0017</v>
      </c>
      <c r="BK3" s="1" t="s">
        <v>96</v>
      </c>
      <c r="BL3" s="1">
        <v>0.0047</v>
      </c>
      <c r="BM3" s="1" t="s">
        <v>96</v>
      </c>
      <c r="BN3" s="1">
        <v>0.0027</v>
      </c>
      <c r="BO3" s="1" t="s">
        <v>96</v>
      </c>
      <c r="BP3" s="1">
        <v>0.0171</v>
      </c>
      <c r="BQ3" s="1" t="s">
        <v>96</v>
      </c>
      <c r="BR3" s="1">
        <v>0.0032</v>
      </c>
      <c r="BS3" s="1">
        <v>0.0303</v>
      </c>
      <c r="BT3" s="1">
        <v>0.0042</v>
      </c>
      <c r="BU3" s="1"/>
      <c r="BV3" s="1"/>
      <c r="BW3" s="1" t="s">
        <v>96</v>
      </c>
      <c r="BX3" s="1">
        <v>0.0047</v>
      </c>
      <c r="BY3" s="1">
        <v>0.0016</v>
      </c>
      <c r="BZ3" s="1">
        <v>0.0015</v>
      </c>
      <c r="CA3" s="1">
        <v>0.1048</v>
      </c>
      <c r="CB3" s="1">
        <v>0.0153</v>
      </c>
      <c r="CC3" s="1" t="s">
        <v>96</v>
      </c>
      <c r="CD3" s="1">
        <v>0.0027</v>
      </c>
      <c r="CE3" s="1" t="s">
        <v>96</v>
      </c>
      <c r="CF3" s="1">
        <v>0.0079</v>
      </c>
      <c r="CG3" s="1" t="s">
        <v>96</v>
      </c>
      <c r="CH3" s="1">
        <v>2.0E-4</v>
      </c>
      <c r="CI3" s="1"/>
      <c r="CJ3" s="1"/>
      <c r="CK3" s="1" t="s">
        <v>96</v>
      </c>
      <c r="CL3" s="1">
        <v>0.0026</v>
      </c>
      <c r="CM3" s="1">
        <v>0.0026</v>
      </c>
      <c r="CN3" s="1">
        <v>0.0023</v>
      </c>
      <c r="CO3" s="1">
        <v>0.0015</v>
      </c>
      <c r="CP3" s="1"/>
      <c r="CQ3" s="1"/>
      <c r="CR3" s="1"/>
      <c r="CS3" s="1"/>
      <c r="CT3" s="1"/>
      <c r="CU3" s="1"/>
      <c r="CV3" s="1"/>
      <c r="CW3" s="1"/>
      <c r="CX3" s="1">
        <v>3.0</v>
      </c>
      <c r="CY3" s="1" t="s">
        <v>99</v>
      </c>
    </row>
    <row r="4" ht="14.25" customHeight="1">
      <c r="A4" s="1" t="s">
        <v>93</v>
      </c>
      <c r="B4" s="1">
        <v>1139861.0</v>
      </c>
      <c r="C4" s="3">
        <v>133.6</v>
      </c>
      <c r="D4" s="3">
        <v>742515.307231</v>
      </c>
      <c r="E4" s="3">
        <v>6002315.102164</v>
      </c>
      <c r="F4" s="4">
        <v>2.0</v>
      </c>
      <c r="G4" s="4">
        <v>3.0</v>
      </c>
      <c r="H4" s="5" t="s">
        <v>100</v>
      </c>
      <c r="I4" s="1" t="s">
        <v>95</v>
      </c>
      <c r="J4" s="1"/>
      <c r="K4" s="1"/>
      <c r="L4" s="1"/>
      <c r="M4" s="2"/>
      <c r="N4" s="2"/>
      <c r="O4" s="1"/>
      <c r="P4" s="1"/>
      <c r="Q4" s="1"/>
      <c r="R4" s="1">
        <v>6.1487</v>
      </c>
      <c r="S4" s="1">
        <v>0.1945</v>
      </c>
      <c r="T4" s="1">
        <v>19.5528</v>
      </c>
      <c r="U4" s="1">
        <v>0.1961</v>
      </c>
      <c r="V4" s="1" t="s">
        <v>96</v>
      </c>
      <c r="W4" s="1">
        <v>0.9917</v>
      </c>
      <c r="X4" s="1">
        <v>1.9058</v>
      </c>
      <c r="Y4" s="1">
        <v>0.6739</v>
      </c>
      <c r="Z4" s="1">
        <v>0.2468</v>
      </c>
      <c r="AA4" s="1">
        <v>0.0951</v>
      </c>
      <c r="AB4" s="1">
        <v>0.7528</v>
      </c>
      <c r="AC4" s="1">
        <v>0.099</v>
      </c>
      <c r="AD4" s="1" t="s">
        <v>96</v>
      </c>
      <c r="AE4" s="1">
        <v>0.0179</v>
      </c>
      <c r="AF4" s="1"/>
      <c r="AG4" s="1"/>
      <c r="AH4" s="1">
        <v>0.0403</v>
      </c>
      <c r="AI4" s="1">
        <v>0.0152</v>
      </c>
      <c r="AJ4" s="1">
        <v>3.126</v>
      </c>
      <c r="AK4" s="1">
        <v>0.0758</v>
      </c>
      <c r="AL4" s="1" t="s">
        <v>96</v>
      </c>
      <c r="AM4" s="1">
        <v>0.0148</v>
      </c>
      <c r="AN4" s="1" t="s">
        <v>96</v>
      </c>
      <c r="AO4" s="1">
        <v>0.0032</v>
      </c>
      <c r="AP4" s="1">
        <v>0.0057</v>
      </c>
      <c r="AQ4" s="1">
        <v>0.0018</v>
      </c>
      <c r="AR4" s="1">
        <v>0.0045</v>
      </c>
      <c r="AS4" s="1">
        <v>0.0019</v>
      </c>
      <c r="AT4" s="1" t="s">
        <v>96</v>
      </c>
      <c r="AU4" s="1">
        <v>0.0038</v>
      </c>
      <c r="AV4" s="1" t="s">
        <v>96</v>
      </c>
      <c r="AW4" s="1">
        <v>0.0057</v>
      </c>
      <c r="AX4" s="1" t="s">
        <v>96</v>
      </c>
      <c r="AY4" s="1">
        <v>5.0E-4</v>
      </c>
      <c r="AZ4" s="1">
        <v>0.0115</v>
      </c>
      <c r="BA4" s="1">
        <v>0.0013</v>
      </c>
      <c r="BB4" s="1">
        <v>0.0081</v>
      </c>
      <c r="BC4" s="1">
        <v>0.0011</v>
      </c>
      <c r="BD4" s="1">
        <v>0.002</v>
      </c>
      <c r="BE4" s="1">
        <f t="shared" si="1"/>
        <v>20</v>
      </c>
      <c r="BF4" s="3">
        <f t="shared" si="2"/>
        <v>23</v>
      </c>
      <c r="BG4" s="1">
        <v>5.0E-4</v>
      </c>
      <c r="BH4" s="1"/>
      <c r="BI4" s="1">
        <v>0.0237</v>
      </c>
      <c r="BJ4" s="1">
        <v>0.0015</v>
      </c>
      <c r="BK4" s="1" t="s">
        <v>96</v>
      </c>
      <c r="BL4" s="1">
        <v>0.0042</v>
      </c>
      <c r="BM4" s="1"/>
      <c r="BN4" s="1"/>
      <c r="BO4" s="1" t="s">
        <v>96</v>
      </c>
      <c r="BP4" s="1">
        <v>0.0155</v>
      </c>
      <c r="BQ4" s="1" t="s">
        <v>96</v>
      </c>
      <c r="BR4" s="1">
        <v>0.003</v>
      </c>
      <c r="BS4" s="1">
        <v>0.0092</v>
      </c>
      <c r="BT4" s="1">
        <v>0.0038</v>
      </c>
      <c r="BU4" s="1" t="s">
        <v>96</v>
      </c>
      <c r="BV4" s="1">
        <v>0.0052</v>
      </c>
      <c r="BW4" s="1" t="s">
        <v>96</v>
      </c>
      <c r="BX4" s="1">
        <v>0.0042</v>
      </c>
      <c r="BY4" s="1" t="s">
        <v>96</v>
      </c>
      <c r="BZ4" s="1">
        <v>0.0013</v>
      </c>
      <c r="CA4" s="1">
        <v>0.0724</v>
      </c>
      <c r="CB4" s="1">
        <v>0.0134</v>
      </c>
      <c r="CC4" s="1" t="s">
        <v>96</v>
      </c>
      <c r="CD4" s="1">
        <v>0.0031</v>
      </c>
      <c r="CE4" s="1" t="s">
        <v>96</v>
      </c>
      <c r="CF4" s="1">
        <v>0.0072</v>
      </c>
      <c r="CG4" s="1" t="s">
        <v>96</v>
      </c>
      <c r="CH4" s="1">
        <v>2.0E-4</v>
      </c>
      <c r="CI4" s="1"/>
      <c r="CJ4" s="1"/>
      <c r="CK4" s="1" t="s">
        <v>96</v>
      </c>
      <c r="CL4" s="1">
        <v>0.0024</v>
      </c>
      <c r="CM4" s="1" t="s">
        <v>96</v>
      </c>
      <c r="CN4" s="1">
        <v>0.002</v>
      </c>
      <c r="CO4" s="1">
        <v>0.0014</v>
      </c>
      <c r="CP4" s="1"/>
      <c r="CQ4" s="1"/>
      <c r="CR4" s="1"/>
      <c r="CS4" s="1"/>
      <c r="CT4" s="1"/>
      <c r="CU4" s="1"/>
      <c r="CV4" s="1"/>
      <c r="CW4" s="1"/>
      <c r="CX4" s="1">
        <v>4.0</v>
      </c>
      <c r="CY4" s="1" t="s">
        <v>101</v>
      </c>
    </row>
    <row r="5" ht="14.25" customHeight="1">
      <c r="A5" s="1" t="s">
        <v>102</v>
      </c>
      <c r="B5" s="1">
        <v>1139862.0</v>
      </c>
      <c r="C5" s="3">
        <v>156.9</v>
      </c>
      <c r="D5" s="3">
        <v>742464.684086</v>
      </c>
      <c r="E5" s="3">
        <v>6002342.04373</v>
      </c>
      <c r="F5" s="3"/>
      <c r="G5" s="3"/>
      <c r="H5" s="5" t="s">
        <v>103</v>
      </c>
      <c r="I5" s="1" t="s">
        <v>95</v>
      </c>
      <c r="J5" s="1"/>
      <c r="K5" s="1"/>
      <c r="L5" s="1"/>
      <c r="M5" s="2"/>
      <c r="N5" s="2"/>
      <c r="O5" s="1"/>
      <c r="P5" s="1"/>
      <c r="Q5" s="1"/>
      <c r="R5" s="1">
        <v>4.9517</v>
      </c>
      <c r="S5" s="1">
        <v>0.1816</v>
      </c>
      <c r="T5" s="1">
        <v>12.1615</v>
      </c>
      <c r="U5" s="1">
        <v>0.1514</v>
      </c>
      <c r="V5" s="1" t="s">
        <v>96</v>
      </c>
      <c r="W5" s="1">
        <v>0.8533</v>
      </c>
      <c r="X5" s="1">
        <v>0.7626</v>
      </c>
      <c r="Y5" s="1">
        <v>0.4936</v>
      </c>
      <c r="Z5" s="1">
        <v>0.192</v>
      </c>
      <c r="AA5" s="1">
        <v>0.0862</v>
      </c>
      <c r="AB5" s="1">
        <v>0.6996</v>
      </c>
      <c r="AC5" s="1">
        <v>0.097</v>
      </c>
      <c r="AD5" s="1"/>
      <c r="AE5" s="1"/>
      <c r="AF5" s="1" t="s">
        <v>96</v>
      </c>
      <c r="AG5" s="1">
        <v>0.0097</v>
      </c>
      <c r="AH5" s="1">
        <v>0.0428</v>
      </c>
      <c r="AI5" s="1">
        <v>0.0172</v>
      </c>
      <c r="AJ5" s="1">
        <v>8.2847</v>
      </c>
      <c r="AK5" s="1">
        <v>0.163</v>
      </c>
      <c r="AL5" s="1" t="s">
        <v>96</v>
      </c>
      <c r="AM5" s="1">
        <v>0.0191</v>
      </c>
      <c r="AN5" s="1" t="s">
        <v>96</v>
      </c>
      <c r="AO5" s="1">
        <v>0.0033</v>
      </c>
      <c r="AP5" s="1">
        <v>0.0188</v>
      </c>
      <c r="AQ5" s="1">
        <v>0.003</v>
      </c>
      <c r="AR5" s="1">
        <v>0.0098</v>
      </c>
      <c r="AS5" s="1">
        <v>0.0034</v>
      </c>
      <c r="AT5" s="1" t="s">
        <v>96</v>
      </c>
      <c r="AU5" s="1">
        <v>0.0032</v>
      </c>
      <c r="AV5" s="1" t="s">
        <v>96</v>
      </c>
      <c r="AW5" s="1">
        <v>0.0087</v>
      </c>
      <c r="AX5" s="1" t="s">
        <v>96</v>
      </c>
      <c r="AY5" s="1">
        <v>8.0E-4</v>
      </c>
      <c r="AZ5" s="1">
        <v>0.0075</v>
      </c>
      <c r="BA5" s="1">
        <v>0.0015</v>
      </c>
      <c r="BB5" s="1">
        <v>0.0065</v>
      </c>
      <c r="BC5" s="1">
        <v>0.0013</v>
      </c>
      <c r="BD5" s="1">
        <v>0.0031</v>
      </c>
      <c r="BE5" s="1">
        <f t="shared" si="1"/>
        <v>31</v>
      </c>
      <c r="BF5" s="3">
        <f t="shared" si="2"/>
        <v>35.65</v>
      </c>
      <c r="BG5" s="1">
        <v>7.0E-4</v>
      </c>
      <c r="BH5" s="1"/>
      <c r="BI5" s="1">
        <v>0.0226</v>
      </c>
      <c r="BJ5" s="1">
        <v>0.0019</v>
      </c>
      <c r="BK5" s="1" t="s">
        <v>96</v>
      </c>
      <c r="BL5" s="1">
        <v>0.0036</v>
      </c>
      <c r="BM5" s="1" t="s">
        <v>96</v>
      </c>
      <c r="BN5" s="1">
        <v>0.002</v>
      </c>
      <c r="BO5" s="1" t="s">
        <v>96</v>
      </c>
      <c r="BP5" s="1">
        <v>0.01</v>
      </c>
      <c r="BQ5" s="1" t="s">
        <v>96</v>
      </c>
      <c r="BR5" s="1">
        <v>0.0039</v>
      </c>
      <c r="BS5" s="1">
        <v>0.0264</v>
      </c>
      <c r="BT5" s="1">
        <v>0.0051</v>
      </c>
      <c r="BU5" s="1" t="s">
        <v>96</v>
      </c>
      <c r="BV5" s="1">
        <v>0.007</v>
      </c>
      <c r="BW5" s="1" t="s">
        <v>96</v>
      </c>
      <c r="BX5" s="1">
        <v>0.0058</v>
      </c>
      <c r="BY5" s="1">
        <v>0.0023</v>
      </c>
      <c r="BZ5" s="1">
        <v>0.002</v>
      </c>
      <c r="CA5" s="1">
        <v>0.0619</v>
      </c>
      <c r="CB5" s="1">
        <v>0.0196</v>
      </c>
      <c r="CC5" s="1" t="s">
        <v>96</v>
      </c>
      <c r="CD5" s="1">
        <v>0.0044</v>
      </c>
      <c r="CE5" s="1" t="s">
        <v>96</v>
      </c>
      <c r="CF5" s="1">
        <v>0.0062</v>
      </c>
      <c r="CG5" s="1" t="s">
        <v>96</v>
      </c>
      <c r="CH5" s="1">
        <v>3.0E-4</v>
      </c>
      <c r="CI5" s="1"/>
      <c r="CJ5" s="1"/>
      <c r="CK5" s="1" t="s">
        <v>96</v>
      </c>
      <c r="CL5" s="1">
        <v>0.0033</v>
      </c>
      <c r="CM5" s="1" t="s">
        <v>96</v>
      </c>
      <c r="CN5" s="1">
        <v>0.0029</v>
      </c>
      <c r="CO5" s="1" t="s">
        <v>96</v>
      </c>
      <c r="CP5" s="1"/>
      <c r="CQ5" s="1"/>
      <c r="CR5" s="1"/>
      <c r="CS5" s="1"/>
      <c r="CT5" s="1"/>
      <c r="CU5" s="1"/>
      <c r="CV5" s="1"/>
      <c r="CW5" s="1"/>
      <c r="CX5" s="1">
        <v>5.0</v>
      </c>
      <c r="CY5" s="1" t="s">
        <v>104</v>
      </c>
    </row>
    <row r="6" ht="14.25" customHeight="1">
      <c r="A6" s="1" t="s">
        <v>105</v>
      </c>
      <c r="B6" s="1">
        <v>1139863.0</v>
      </c>
      <c r="C6" s="3">
        <v>142.1</v>
      </c>
      <c r="D6" s="3">
        <v>742456.45353</v>
      </c>
      <c r="E6" s="3">
        <v>6002275.867617</v>
      </c>
      <c r="F6" s="4">
        <v>0.0</v>
      </c>
      <c r="G6" s="4">
        <v>1.0</v>
      </c>
      <c r="H6" s="5" t="s">
        <v>98</v>
      </c>
      <c r="I6" s="1" t="s">
        <v>95</v>
      </c>
      <c r="J6" s="1"/>
      <c r="K6" s="1"/>
      <c r="L6" s="1"/>
      <c r="M6" s="2"/>
      <c r="N6" s="2"/>
      <c r="O6" s="1"/>
      <c r="P6" s="1"/>
      <c r="Q6" s="1"/>
      <c r="R6" s="1">
        <v>4.8587</v>
      </c>
      <c r="S6" s="1">
        <v>0.1436</v>
      </c>
      <c r="T6" s="1">
        <v>14.1112</v>
      </c>
      <c r="U6" s="1">
        <v>0.1355</v>
      </c>
      <c r="V6" s="1" t="s">
        <v>96</v>
      </c>
      <c r="W6" s="1">
        <v>1.1858</v>
      </c>
      <c r="X6" s="1">
        <v>1.0496</v>
      </c>
      <c r="Y6" s="1">
        <v>0.588</v>
      </c>
      <c r="Z6" s="1">
        <v>0.3767</v>
      </c>
      <c r="AA6" s="1">
        <v>0.1124</v>
      </c>
      <c r="AB6" s="1">
        <v>0.3734</v>
      </c>
      <c r="AC6" s="1">
        <v>0.0796</v>
      </c>
      <c r="AD6" s="1" t="s">
        <v>96</v>
      </c>
      <c r="AE6" s="1">
        <v>0.016</v>
      </c>
      <c r="AF6" s="1"/>
      <c r="AG6" s="1"/>
      <c r="AH6" s="1">
        <v>0.1419</v>
      </c>
      <c r="AI6" s="1">
        <v>0.0252</v>
      </c>
      <c r="AJ6" s="1">
        <v>3.4767</v>
      </c>
      <c r="AK6" s="1">
        <v>0.0745</v>
      </c>
      <c r="AL6" s="1" t="s">
        <v>96</v>
      </c>
      <c r="AM6" s="1">
        <v>0.0172</v>
      </c>
      <c r="AN6" s="1" t="s">
        <v>96</v>
      </c>
      <c r="AO6" s="1">
        <v>0.0031</v>
      </c>
      <c r="AP6" s="1">
        <v>0.0056</v>
      </c>
      <c r="AQ6" s="1">
        <v>0.0018</v>
      </c>
      <c r="AR6" s="1">
        <v>0.005</v>
      </c>
      <c r="AS6" s="1">
        <v>0.0018</v>
      </c>
      <c r="AT6" s="1">
        <v>0.0048</v>
      </c>
      <c r="AU6" s="1">
        <v>0.004</v>
      </c>
      <c r="AV6" s="1" t="s">
        <v>96</v>
      </c>
      <c r="AW6" s="1">
        <v>0.0057</v>
      </c>
      <c r="AX6" s="1" t="s">
        <v>96</v>
      </c>
      <c r="AY6" s="1">
        <v>5.0E-4</v>
      </c>
      <c r="AZ6" s="1">
        <v>0.0111</v>
      </c>
      <c r="BA6" s="1">
        <v>0.0013</v>
      </c>
      <c r="BB6" s="1">
        <v>0.0161</v>
      </c>
      <c r="BC6" s="1">
        <v>0.0014</v>
      </c>
      <c r="BD6" s="1">
        <v>0.0039</v>
      </c>
      <c r="BE6" s="1">
        <f t="shared" si="1"/>
        <v>39</v>
      </c>
      <c r="BF6" s="3">
        <f t="shared" si="2"/>
        <v>44.85</v>
      </c>
      <c r="BG6" s="1">
        <v>5.0E-4</v>
      </c>
      <c r="BH6" s="1"/>
      <c r="BI6" s="1">
        <v>0.019</v>
      </c>
      <c r="BJ6" s="1">
        <v>0.0013</v>
      </c>
      <c r="BK6" s="1" t="s">
        <v>96</v>
      </c>
      <c r="BL6" s="1">
        <v>0.0049</v>
      </c>
      <c r="BM6" s="1" t="s">
        <v>96</v>
      </c>
      <c r="BN6" s="1">
        <v>0.0029</v>
      </c>
      <c r="BO6" s="1" t="s">
        <v>96</v>
      </c>
      <c r="BP6" s="1">
        <v>0.0183</v>
      </c>
      <c r="BQ6" s="1" t="s">
        <v>96</v>
      </c>
      <c r="BR6" s="1">
        <v>0.003</v>
      </c>
      <c r="BS6" s="1">
        <v>0.0257</v>
      </c>
      <c r="BT6" s="1">
        <v>0.004</v>
      </c>
      <c r="BU6" s="1" t="s">
        <v>96</v>
      </c>
      <c r="BV6" s="1">
        <v>0.0054</v>
      </c>
      <c r="BW6" s="1" t="s">
        <v>96</v>
      </c>
      <c r="BX6" s="1">
        <v>0.0044</v>
      </c>
      <c r="BY6" s="1" t="s">
        <v>96</v>
      </c>
      <c r="BZ6" s="1">
        <v>0.0014</v>
      </c>
      <c r="CA6" s="1">
        <v>0.0854</v>
      </c>
      <c r="CB6" s="1">
        <v>0.0142</v>
      </c>
      <c r="CC6" s="1" t="s">
        <v>96</v>
      </c>
      <c r="CD6" s="1">
        <v>0.0028</v>
      </c>
      <c r="CE6" s="1" t="s">
        <v>96</v>
      </c>
      <c r="CF6" s="1">
        <v>0.0082</v>
      </c>
      <c r="CG6" s="1" t="s">
        <v>96</v>
      </c>
      <c r="CH6" s="1">
        <v>2.0E-4</v>
      </c>
      <c r="CI6" s="1"/>
      <c r="CJ6" s="1"/>
      <c r="CK6" s="1" t="s">
        <v>96</v>
      </c>
      <c r="CL6" s="1">
        <v>0.0025</v>
      </c>
      <c r="CM6" s="1">
        <v>0.0025</v>
      </c>
      <c r="CN6" s="1">
        <v>0.0022</v>
      </c>
      <c r="CO6" s="1">
        <v>0.0016</v>
      </c>
      <c r="CP6" s="1"/>
      <c r="CQ6" s="1"/>
      <c r="CR6" s="1"/>
      <c r="CS6" s="1"/>
      <c r="CT6" s="1"/>
      <c r="CU6" s="1"/>
      <c r="CV6" s="1"/>
      <c r="CW6" s="1"/>
      <c r="CX6" s="1"/>
      <c r="CY6" s="1"/>
    </row>
    <row r="7" ht="14.25" customHeight="1">
      <c r="A7" s="1" t="s">
        <v>105</v>
      </c>
      <c r="B7" s="1">
        <v>1139864.0</v>
      </c>
      <c r="C7" s="3">
        <v>142.1</v>
      </c>
      <c r="D7" s="3">
        <v>742456.45353</v>
      </c>
      <c r="E7" s="3">
        <v>6002275.867617</v>
      </c>
      <c r="F7" s="4">
        <v>1.0</v>
      </c>
      <c r="G7" s="4">
        <v>2.0</v>
      </c>
      <c r="H7" s="5" t="s">
        <v>106</v>
      </c>
      <c r="I7" s="1" t="s">
        <v>95</v>
      </c>
      <c r="J7" s="1"/>
      <c r="K7" s="1"/>
      <c r="L7" s="1"/>
      <c r="M7" s="2"/>
      <c r="N7" s="2"/>
      <c r="O7" s="1"/>
      <c r="P7" s="1"/>
      <c r="Q7" s="1"/>
      <c r="R7" s="1">
        <v>8.9546</v>
      </c>
      <c r="S7" s="1">
        <v>0.3068</v>
      </c>
      <c r="T7" s="1">
        <v>21.8769</v>
      </c>
      <c r="U7" s="1">
        <v>0.2754</v>
      </c>
      <c r="V7" s="1" t="s">
        <v>96</v>
      </c>
      <c r="W7" s="1">
        <v>1.164</v>
      </c>
      <c r="X7" s="1">
        <v>1.8699</v>
      </c>
      <c r="Y7" s="1">
        <v>0.706</v>
      </c>
      <c r="Z7" s="1">
        <v>0.5048</v>
      </c>
      <c r="AA7" s="1">
        <v>0.128</v>
      </c>
      <c r="AB7" s="1">
        <v>0.9319</v>
      </c>
      <c r="AC7" s="1">
        <v>0.1109</v>
      </c>
      <c r="AD7" s="1">
        <v>0.024</v>
      </c>
      <c r="AE7" s="1">
        <v>0.02</v>
      </c>
      <c r="AF7" s="1" t="s">
        <v>96</v>
      </c>
      <c r="AG7" s="1">
        <v>0.0115</v>
      </c>
      <c r="AH7" s="1">
        <v>0.1311</v>
      </c>
      <c r="AI7" s="1">
        <v>0.0244</v>
      </c>
      <c r="AJ7" s="1">
        <v>5.6247</v>
      </c>
      <c r="AK7" s="1">
        <v>0.1007</v>
      </c>
      <c r="AL7" s="1" t="s">
        <v>96</v>
      </c>
      <c r="AM7" s="1">
        <v>0.0219</v>
      </c>
      <c r="AN7" s="1" t="s">
        <v>96</v>
      </c>
      <c r="AO7" s="1">
        <v>0.004</v>
      </c>
      <c r="AP7" s="1">
        <v>0.0108</v>
      </c>
      <c r="AQ7" s="1">
        <v>0.0017</v>
      </c>
      <c r="AR7" s="1">
        <v>0.009</v>
      </c>
      <c r="AS7" s="1">
        <v>0.0024</v>
      </c>
      <c r="AT7" s="1">
        <v>0.0062</v>
      </c>
      <c r="AU7" s="1">
        <v>0.0045</v>
      </c>
      <c r="AV7" s="1" t="s">
        <v>96</v>
      </c>
      <c r="AW7" s="1">
        <v>0.0057</v>
      </c>
      <c r="AX7" s="1" t="s">
        <v>96</v>
      </c>
      <c r="AY7" s="1">
        <v>5.0E-4</v>
      </c>
      <c r="AZ7" s="1">
        <v>0.0095</v>
      </c>
      <c r="BA7" s="1">
        <v>0.0012</v>
      </c>
      <c r="BB7" s="1">
        <v>0.0126</v>
      </c>
      <c r="BC7" s="1">
        <v>0.0013</v>
      </c>
      <c r="BD7" s="1">
        <v>0.0038</v>
      </c>
      <c r="BE7" s="1">
        <f t="shared" si="1"/>
        <v>38</v>
      </c>
      <c r="BF7" s="3">
        <f t="shared" si="2"/>
        <v>43.7</v>
      </c>
      <c r="BG7" s="1">
        <v>6.0E-4</v>
      </c>
      <c r="BH7" s="1"/>
      <c r="BI7" s="1">
        <v>0.0366</v>
      </c>
      <c r="BJ7" s="1">
        <v>0.0017</v>
      </c>
      <c r="BK7" s="1" t="s">
        <v>96</v>
      </c>
      <c r="BL7" s="1">
        <v>0.0047</v>
      </c>
      <c r="BM7" s="1" t="s">
        <v>96</v>
      </c>
      <c r="BN7" s="1">
        <v>0.0028</v>
      </c>
      <c r="BO7" s="1" t="s">
        <v>96</v>
      </c>
      <c r="BP7" s="1">
        <v>0.0156</v>
      </c>
      <c r="BQ7" s="1" t="s">
        <v>96</v>
      </c>
      <c r="BR7" s="1">
        <v>0.0029</v>
      </c>
      <c r="BS7" s="1">
        <v>0.0142</v>
      </c>
      <c r="BT7" s="1">
        <v>0.0037</v>
      </c>
      <c r="BU7" s="1" t="s">
        <v>96</v>
      </c>
      <c r="BV7" s="1">
        <v>0.0052</v>
      </c>
      <c r="BW7" s="1" t="s">
        <v>96</v>
      </c>
      <c r="BX7" s="1">
        <v>0.0042</v>
      </c>
      <c r="BY7" s="1" t="s">
        <v>96</v>
      </c>
      <c r="BZ7" s="1">
        <v>0.0014</v>
      </c>
      <c r="CA7" s="1">
        <v>0.0823</v>
      </c>
      <c r="CB7" s="1">
        <v>0.014</v>
      </c>
      <c r="CC7" s="1" t="s">
        <v>96</v>
      </c>
      <c r="CD7" s="1">
        <v>0.003</v>
      </c>
      <c r="CE7" s="1" t="s">
        <v>96</v>
      </c>
      <c r="CF7" s="1">
        <v>0.0081</v>
      </c>
      <c r="CG7" s="1" t="s">
        <v>96</v>
      </c>
      <c r="CH7" s="1">
        <v>2.0E-4</v>
      </c>
      <c r="CI7" s="1"/>
      <c r="CJ7" s="1"/>
      <c r="CK7" s="1" t="s">
        <v>96</v>
      </c>
      <c r="CL7" s="1">
        <v>0.0023</v>
      </c>
      <c r="CM7" s="1">
        <v>0.0025</v>
      </c>
      <c r="CN7" s="1">
        <v>0.0022</v>
      </c>
      <c r="CO7" s="1">
        <v>0.0017</v>
      </c>
      <c r="CP7" s="1"/>
      <c r="CQ7" s="1"/>
      <c r="CR7" s="1"/>
      <c r="CS7" s="1"/>
      <c r="CT7" s="1"/>
      <c r="CU7" s="1"/>
      <c r="CV7" s="1"/>
      <c r="CW7" s="1"/>
      <c r="CX7" s="1"/>
      <c r="CY7" s="1"/>
    </row>
    <row r="8" ht="14.25" customHeight="1">
      <c r="A8" s="1" t="s">
        <v>105</v>
      </c>
      <c r="B8" s="1">
        <v>1139865.0</v>
      </c>
      <c r="C8" s="3">
        <v>142.1</v>
      </c>
      <c r="D8" s="3">
        <v>742456.45353</v>
      </c>
      <c r="E8" s="3">
        <v>6002275.867617</v>
      </c>
      <c r="F8" s="4">
        <v>2.0</v>
      </c>
      <c r="G8" s="4">
        <v>3.0</v>
      </c>
      <c r="H8" s="5" t="s">
        <v>106</v>
      </c>
      <c r="I8" s="1" t="s">
        <v>95</v>
      </c>
      <c r="J8" s="1"/>
      <c r="K8" s="1"/>
      <c r="L8" s="1"/>
      <c r="M8" s="2"/>
      <c r="N8" s="2"/>
      <c r="O8" s="1"/>
      <c r="P8" s="1"/>
      <c r="Q8" s="1"/>
      <c r="R8" s="1">
        <v>7.2975</v>
      </c>
      <c r="S8" s="1">
        <v>0.2381</v>
      </c>
      <c r="T8" s="1">
        <v>21.4876</v>
      </c>
      <c r="U8" s="1">
        <v>0.233</v>
      </c>
      <c r="V8" s="1" t="s">
        <v>96</v>
      </c>
      <c r="W8" s="1">
        <v>1.0269</v>
      </c>
      <c r="X8" s="1">
        <v>1.6618</v>
      </c>
      <c r="Y8" s="1">
        <v>0.7122</v>
      </c>
      <c r="Z8" s="1">
        <v>0.3183</v>
      </c>
      <c r="AA8" s="1">
        <v>0.1064</v>
      </c>
      <c r="AB8" s="1">
        <v>0.7262</v>
      </c>
      <c r="AC8" s="1">
        <v>0.0957</v>
      </c>
      <c r="AD8" s="1">
        <v>0.0242</v>
      </c>
      <c r="AE8" s="1">
        <v>0.0174</v>
      </c>
      <c r="AF8" s="1"/>
      <c r="AG8" s="1"/>
      <c r="AH8" s="1">
        <v>0.1534</v>
      </c>
      <c r="AI8" s="1">
        <v>0.0253</v>
      </c>
      <c r="AJ8" s="1">
        <v>3.7711</v>
      </c>
      <c r="AK8" s="1">
        <v>0.0759</v>
      </c>
      <c r="AL8" s="1" t="s">
        <v>96</v>
      </c>
      <c r="AM8" s="1">
        <v>0.0184</v>
      </c>
      <c r="AN8" s="1" t="s">
        <v>96</v>
      </c>
      <c r="AO8" s="1">
        <v>0.0032</v>
      </c>
      <c r="AP8" s="1">
        <v>0.0052</v>
      </c>
      <c r="AQ8" s="1">
        <v>0.0015</v>
      </c>
      <c r="AR8" s="1">
        <v>0.0066</v>
      </c>
      <c r="AS8" s="1">
        <v>0.0019</v>
      </c>
      <c r="AT8" s="1">
        <v>0.0048</v>
      </c>
      <c r="AU8" s="1">
        <v>0.0039</v>
      </c>
      <c r="AV8" s="1" t="s">
        <v>96</v>
      </c>
      <c r="AW8" s="1">
        <v>0.005</v>
      </c>
      <c r="AX8" s="1" t="s">
        <v>96</v>
      </c>
      <c r="AY8" s="1">
        <v>4.0E-4</v>
      </c>
      <c r="AZ8" s="1">
        <v>0.0077</v>
      </c>
      <c r="BA8" s="1">
        <v>0.001</v>
      </c>
      <c r="BB8" s="1">
        <v>0.0078</v>
      </c>
      <c r="BC8" s="1">
        <v>0.001</v>
      </c>
      <c r="BD8" s="1">
        <v>0.0026</v>
      </c>
      <c r="BE8" s="1">
        <f t="shared" si="1"/>
        <v>26</v>
      </c>
      <c r="BF8" s="3">
        <f t="shared" si="2"/>
        <v>29.9</v>
      </c>
      <c r="BG8" s="1">
        <v>4.0E-4</v>
      </c>
      <c r="BH8" s="1"/>
      <c r="BI8" s="1">
        <v>0.015</v>
      </c>
      <c r="BJ8" s="1">
        <v>0.0011</v>
      </c>
      <c r="BK8" s="1" t="s">
        <v>96</v>
      </c>
      <c r="BL8" s="1">
        <v>0.0047</v>
      </c>
      <c r="BM8" s="1" t="s">
        <v>96</v>
      </c>
      <c r="BN8" s="1">
        <v>0.0029</v>
      </c>
      <c r="BO8" s="1" t="s">
        <v>96</v>
      </c>
      <c r="BP8" s="1">
        <v>0.0172</v>
      </c>
      <c r="BQ8" s="1" t="s">
        <v>96</v>
      </c>
      <c r="BR8" s="1">
        <v>0.0027</v>
      </c>
      <c r="BS8" s="1">
        <v>0.0068</v>
      </c>
      <c r="BT8" s="1">
        <v>0.0034</v>
      </c>
      <c r="BU8" s="1" t="s">
        <v>96</v>
      </c>
      <c r="BV8" s="1">
        <v>0.0047</v>
      </c>
      <c r="BW8" s="1" t="s">
        <v>96</v>
      </c>
      <c r="BX8" s="1">
        <v>0.0037</v>
      </c>
      <c r="BY8" s="1" t="s">
        <v>96</v>
      </c>
      <c r="BZ8" s="1">
        <v>0.0012</v>
      </c>
      <c r="CA8" s="1">
        <v>0.0351</v>
      </c>
      <c r="CB8" s="1">
        <v>0.0115</v>
      </c>
      <c r="CC8" s="1" t="s">
        <v>96</v>
      </c>
      <c r="CD8" s="1">
        <v>0.0027</v>
      </c>
      <c r="CE8" s="1" t="s">
        <v>96</v>
      </c>
      <c r="CF8" s="1">
        <v>0.0082</v>
      </c>
      <c r="CG8" s="1" t="s">
        <v>96</v>
      </c>
      <c r="CH8" s="1">
        <v>2.0E-4</v>
      </c>
      <c r="CI8" s="1"/>
      <c r="CJ8" s="1"/>
      <c r="CK8" s="1">
        <v>0.0022</v>
      </c>
      <c r="CL8" s="1">
        <v>0.0022</v>
      </c>
      <c r="CM8" s="1">
        <v>0.0053</v>
      </c>
      <c r="CN8" s="1">
        <v>0.0022</v>
      </c>
      <c r="CO8" s="1">
        <v>0.0013</v>
      </c>
      <c r="CP8" s="1"/>
      <c r="CQ8" s="1"/>
      <c r="CR8" s="1"/>
      <c r="CS8" s="1"/>
      <c r="CT8" s="1"/>
      <c r="CU8" s="1"/>
      <c r="CV8" s="1"/>
      <c r="CW8" s="1"/>
      <c r="CX8" s="1"/>
      <c r="CY8" s="1"/>
    </row>
    <row r="9" ht="14.25" customHeight="1">
      <c r="A9" s="1" t="s">
        <v>105</v>
      </c>
      <c r="B9" s="1">
        <v>1139866.0</v>
      </c>
      <c r="C9" s="3">
        <v>142.1</v>
      </c>
      <c r="D9" s="3">
        <v>742456.45353</v>
      </c>
      <c r="E9" s="3">
        <v>6002275.867617</v>
      </c>
      <c r="F9" s="4">
        <v>3.0</v>
      </c>
      <c r="G9" s="4">
        <v>4.0</v>
      </c>
      <c r="H9" s="5" t="s">
        <v>106</v>
      </c>
      <c r="I9" s="1" t="s">
        <v>95</v>
      </c>
      <c r="J9" s="1"/>
      <c r="K9" s="1"/>
      <c r="L9" s="1"/>
      <c r="M9" s="2"/>
      <c r="N9" s="2"/>
      <c r="O9" s="1"/>
      <c r="P9" s="1"/>
      <c r="Q9" s="1"/>
      <c r="R9" s="1">
        <v>4.3216</v>
      </c>
      <c r="S9" s="1">
        <v>0.1145</v>
      </c>
      <c r="T9" s="1">
        <v>11.6047</v>
      </c>
      <c r="U9" s="1">
        <v>0.1038</v>
      </c>
      <c r="V9" s="1" t="s">
        <v>96</v>
      </c>
      <c r="W9" s="1">
        <v>1.0082</v>
      </c>
      <c r="X9" s="1">
        <v>0.67</v>
      </c>
      <c r="Y9" s="1">
        <v>0.4837</v>
      </c>
      <c r="Z9" s="1">
        <v>0.2365</v>
      </c>
      <c r="AA9" s="1">
        <v>0.0909</v>
      </c>
      <c r="AB9" s="1">
        <v>0.3616</v>
      </c>
      <c r="AC9" s="1">
        <v>0.072</v>
      </c>
      <c r="AD9" s="1"/>
      <c r="AE9" s="1"/>
      <c r="AF9" s="1" t="s">
        <v>96</v>
      </c>
      <c r="AG9" s="1">
        <v>0.0087</v>
      </c>
      <c r="AH9" s="1">
        <v>0.0429</v>
      </c>
      <c r="AI9" s="1">
        <v>0.0162</v>
      </c>
      <c r="AJ9" s="1">
        <v>3.2357</v>
      </c>
      <c r="AK9" s="1">
        <v>0.0798</v>
      </c>
      <c r="AL9" s="1" t="s">
        <v>96</v>
      </c>
      <c r="AM9" s="1">
        <v>0.0142</v>
      </c>
      <c r="AN9" s="1" t="s">
        <v>96</v>
      </c>
      <c r="AO9" s="1">
        <v>0.0029</v>
      </c>
      <c r="AP9" s="1">
        <v>0.0045</v>
      </c>
      <c r="AQ9" s="1">
        <v>0.0018</v>
      </c>
      <c r="AR9" s="1">
        <v>0.0067</v>
      </c>
      <c r="AS9" s="1">
        <v>0.0022</v>
      </c>
      <c r="AT9" s="1">
        <v>0.0035</v>
      </c>
      <c r="AU9" s="1">
        <v>0.0034</v>
      </c>
      <c r="AV9" s="1" t="s">
        <v>96</v>
      </c>
      <c r="AW9" s="1">
        <v>0.006</v>
      </c>
      <c r="AX9" s="1" t="s">
        <v>96</v>
      </c>
      <c r="AY9" s="1">
        <v>5.0E-4</v>
      </c>
      <c r="AZ9" s="1">
        <v>0.0093</v>
      </c>
      <c r="BA9" s="1">
        <v>0.0013</v>
      </c>
      <c r="BB9" s="1">
        <v>0.0144</v>
      </c>
      <c r="BC9" s="1">
        <v>0.0014</v>
      </c>
      <c r="BD9" s="1">
        <v>0.0024</v>
      </c>
      <c r="BE9" s="1">
        <f t="shared" si="1"/>
        <v>24</v>
      </c>
      <c r="BF9" s="3">
        <f t="shared" si="2"/>
        <v>27.6</v>
      </c>
      <c r="BG9" s="1">
        <v>5.0E-4</v>
      </c>
      <c r="BH9" s="1"/>
      <c r="BI9" s="1">
        <v>0.0135</v>
      </c>
      <c r="BJ9" s="1">
        <v>0.0013</v>
      </c>
      <c r="BK9" s="1" t="s">
        <v>96</v>
      </c>
      <c r="BL9" s="1">
        <v>0.0042</v>
      </c>
      <c r="BM9" s="1"/>
      <c r="BN9" s="1"/>
      <c r="BO9" s="1" t="s">
        <v>96</v>
      </c>
      <c r="BP9" s="1">
        <v>0.0154</v>
      </c>
      <c r="BQ9" s="1" t="s">
        <v>96</v>
      </c>
      <c r="BR9" s="1">
        <v>0.0032</v>
      </c>
      <c r="BS9" s="1">
        <v>0.0159</v>
      </c>
      <c r="BT9" s="1">
        <v>0.0041</v>
      </c>
      <c r="BU9" s="1" t="s">
        <v>96</v>
      </c>
      <c r="BV9" s="1">
        <v>0.0057</v>
      </c>
      <c r="BW9" s="1" t="s">
        <v>96</v>
      </c>
      <c r="BX9" s="1">
        <v>0.0049</v>
      </c>
      <c r="BY9" s="1" t="s">
        <v>96</v>
      </c>
      <c r="BZ9" s="1">
        <v>0.0016</v>
      </c>
      <c r="CA9" s="1">
        <v>0.0322</v>
      </c>
      <c r="CB9" s="1">
        <v>0.0138</v>
      </c>
      <c r="CC9" s="1" t="s">
        <v>96</v>
      </c>
      <c r="CD9" s="1">
        <v>0.0028</v>
      </c>
      <c r="CE9" s="1" t="s">
        <v>96</v>
      </c>
      <c r="CF9" s="1">
        <v>0.0071</v>
      </c>
      <c r="CG9" s="1" t="s">
        <v>96</v>
      </c>
      <c r="CH9" s="1">
        <v>2.0E-4</v>
      </c>
      <c r="CI9" s="1" t="s">
        <v>96</v>
      </c>
      <c r="CJ9" s="1">
        <v>0.0012</v>
      </c>
      <c r="CK9" s="1" t="s">
        <v>96</v>
      </c>
      <c r="CL9" s="1">
        <v>0.0024</v>
      </c>
      <c r="CM9" s="1">
        <v>0.0033</v>
      </c>
      <c r="CN9" s="1">
        <v>0.0023</v>
      </c>
      <c r="CO9" s="1">
        <v>0.0013</v>
      </c>
      <c r="CP9" s="1"/>
      <c r="CQ9" s="1"/>
      <c r="CR9" s="1"/>
      <c r="CS9" s="1"/>
      <c r="CT9" s="1"/>
      <c r="CU9" s="1"/>
      <c r="CV9" s="1"/>
      <c r="CW9" s="1"/>
      <c r="CX9" s="1"/>
      <c r="CY9" s="1"/>
    </row>
    <row r="10" ht="14.25" customHeight="1">
      <c r="A10" s="1" t="s">
        <v>107</v>
      </c>
      <c r="B10" s="1">
        <v>1139867.0</v>
      </c>
      <c r="C10" s="3">
        <v>357.0</v>
      </c>
      <c r="D10" s="3">
        <v>740199.78922</v>
      </c>
      <c r="E10" s="3">
        <v>6002072.659315</v>
      </c>
      <c r="F10" s="3">
        <v>0.0</v>
      </c>
      <c r="G10" s="6">
        <v>0.3</v>
      </c>
      <c r="H10" s="1" t="s">
        <v>108</v>
      </c>
      <c r="I10" s="1" t="s">
        <v>95</v>
      </c>
      <c r="J10" s="1"/>
      <c r="K10" s="1"/>
      <c r="L10" s="1"/>
      <c r="M10" s="2"/>
      <c r="N10" s="2"/>
      <c r="O10" s="1"/>
      <c r="P10" s="1"/>
      <c r="Q10" s="1"/>
      <c r="R10" s="1">
        <v>9.2181</v>
      </c>
      <c r="S10" s="1">
        <v>0.3017</v>
      </c>
      <c r="T10" s="1">
        <v>25.0743</v>
      </c>
      <c r="U10" s="1">
        <v>0.2911</v>
      </c>
      <c r="V10" s="1" t="s">
        <v>96</v>
      </c>
      <c r="W10" s="1">
        <v>1.0761</v>
      </c>
      <c r="X10" s="1">
        <v>2.4684</v>
      </c>
      <c r="Y10" s="1">
        <v>0.8236</v>
      </c>
      <c r="Z10" s="1">
        <v>0.4064</v>
      </c>
      <c r="AA10" s="1">
        <v>0.1139</v>
      </c>
      <c r="AB10" s="1">
        <v>0.6371</v>
      </c>
      <c r="AC10" s="1">
        <v>0.0917</v>
      </c>
      <c r="AD10" s="1" t="s">
        <v>96</v>
      </c>
      <c r="AE10" s="1">
        <v>0.0167</v>
      </c>
      <c r="AF10" s="1" t="s">
        <v>96</v>
      </c>
      <c r="AG10" s="1">
        <v>0.0104</v>
      </c>
      <c r="AH10" s="1">
        <v>0.0837</v>
      </c>
      <c r="AI10" s="1">
        <v>0.0199</v>
      </c>
      <c r="AJ10" s="1">
        <v>3.3548</v>
      </c>
      <c r="AK10" s="1">
        <v>0.0727</v>
      </c>
      <c r="AL10" s="1" t="s">
        <v>96</v>
      </c>
      <c r="AM10" s="1">
        <v>0.0168</v>
      </c>
      <c r="AN10" s="1" t="s">
        <v>96</v>
      </c>
      <c r="AO10" s="1">
        <v>0.0034</v>
      </c>
      <c r="AP10" s="1">
        <v>0.0066</v>
      </c>
      <c r="AQ10" s="1">
        <v>0.002</v>
      </c>
      <c r="AR10" s="1">
        <v>0.0062</v>
      </c>
      <c r="AS10" s="1">
        <v>0.0019</v>
      </c>
      <c r="AT10" s="1">
        <v>0.0049</v>
      </c>
      <c r="AU10" s="1">
        <v>0.0042</v>
      </c>
      <c r="AV10" s="1" t="s">
        <v>96</v>
      </c>
      <c r="AW10" s="1">
        <v>0.0052</v>
      </c>
      <c r="AX10" s="1" t="s">
        <v>96</v>
      </c>
      <c r="AY10" s="1">
        <v>5.0E-4</v>
      </c>
      <c r="AZ10" s="1">
        <v>0.0148</v>
      </c>
      <c r="BA10" s="1">
        <v>0.0014</v>
      </c>
      <c r="BB10" s="1">
        <v>0.0057</v>
      </c>
      <c r="BC10" s="1">
        <v>9.0E-4</v>
      </c>
      <c r="BD10" s="1">
        <v>0.0043</v>
      </c>
      <c r="BE10" s="1">
        <f t="shared" si="1"/>
        <v>43</v>
      </c>
      <c r="BF10" s="3">
        <f t="shared" si="2"/>
        <v>49.45</v>
      </c>
      <c r="BG10" s="1">
        <v>5.0E-4</v>
      </c>
      <c r="BH10" s="1"/>
      <c r="BI10" s="1">
        <v>0.0408</v>
      </c>
      <c r="BJ10" s="1">
        <v>0.0017</v>
      </c>
      <c r="BK10" s="1" t="s">
        <v>96</v>
      </c>
      <c r="BL10" s="1">
        <v>0.0047</v>
      </c>
      <c r="BM10" s="1" t="s">
        <v>96</v>
      </c>
      <c r="BN10" s="1">
        <v>0.0029</v>
      </c>
      <c r="BO10" s="1" t="s">
        <v>96</v>
      </c>
      <c r="BP10" s="1">
        <v>0.0171</v>
      </c>
      <c r="BQ10" s="1" t="s">
        <v>96</v>
      </c>
      <c r="BR10" s="1">
        <v>0.0028</v>
      </c>
      <c r="BS10" s="1">
        <v>0.0104</v>
      </c>
      <c r="BT10" s="1">
        <v>0.0035</v>
      </c>
      <c r="BU10" s="1" t="s">
        <v>96</v>
      </c>
      <c r="BV10" s="1">
        <v>0.0049</v>
      </c>
      <c r="BW10" s="1" t="s">
        <v>96</v>
      </c>
      <c r="BX10" s="1">
        <v>0.0039</v>
      </c>
      <c r="BY10" s="1" t="s">
        <v>96</v>
      </c>
      <c r="BZ10" s="1">
        <v>0.0012</v>
      </c>
      <c r="CA10" s="1">
        <v>0.0629</v>
      </c>
      <c r="CB10" s="1">
        <v>0.0122</v>
      </c>
      <c r="CC10" s="1" t="s">
        <v>96</v>
      </c>
      <c r="CD10" s="1">
        <v>0.0024</v>
      </c>
      <c r="CE10" s="1" t="s">
        <v>96</v>
      </c>
      <c r="CF10" s="1">
        <v>0.0077</v>
      </c>
      <c r="CG10" s="1" t="s">
        <v>96</v>
      </c>
      <c r="CH10" s="1">
        <v>2.0E-4</v>
      </c>
      <c r="CI10" s="1"/>
      <c r="CJ10" s="1"/>
      <c r="CK10" s="1" t="s">
        <v>96</v>
      </c>
      <c r="CL10" s="1">
        <v>0.0022</v>
      </c>
      <c r="CM10" s="1">
        <v>0.0021</v>
      </c>
      <c r="CN10" s="1">
        <v>0.002</v>
      </c>
      <c r="CO10" s="1">
        <v>0.0019</v>
      </c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ht="14.25" customHeight="1">
      <c r="A11" s="1" t="s">
        <v>109</v>
      </c>
      <c r="B11" s="1">
        <v>1139868.0</v>
      </c>
      <c r="C11" s="3">
        <v>433.448914</v>
      </c>
      <c r="D11" s="3">
        <v>724998.263099</v>
      </c>
      <c r="E11" s="3">
        <v>5987545.780486</v>
      </c>
      <c r="F11" s="4">
        <v>0.0</v>
      </c>
      <c r="G11" s="7">
        <v>0.5</v>
      </c>
      <c r="H11" s="1" t="s">
        <v>108</v>
      </c>
      <c r="I11" s="1" t="s">
        <v>110</v>
      </c>
      <c r="J11" s="1"/>
      <c r="K11" s="1"/>
      <c r="L11" s="1"/>
      <c r="M11" s="2"/>
      <c r="N11" s="2" t="s">
        <v>111</v>
      </c>
      <c r="O11" s="1" t="s">
        <v>112</v>
      </c>
      <c r="P11" s="1"/>
      <c r="Q11" s="1"/>
      <c r="R11" s="1">
        <v>6.8494</v>
      </c>
      <c r="S11" s="1">
        <v>0.1964</v>
      </c>
      <c r="T11" s="1">
        <v>18.4105</v>
      </c>
      <c r="U11" s="1">
        <v>0.1864</v>
      </c>
      <c r="V11" s="1" t="s">
        <v>96</v>
      </c>
      <c r="W11" s="1">
        <v>1.123</v>
      </c>
      <c r="X11" s="1">
        <v>1.6719</v>
      </c>
      <c r="Y11" s="1">
        <v>0.6697</v>
      </c>
      <c r="Z11" s="1">
        <v>0.2378</v>
      </c>
      <c r="AA11" s="1">
        <v>0.0911</v>
      </c>
      <c r="AB11" s="1">
        <v>0.4381</v>
      </c>
      <c r="AC11" s="1">
        <v>0.0773</v>
      </c>
      <c r="AD11" s="1" t="s">
        <v>96</v>
      </c>
      <c r="AE11" s="1">
        <v>0.015</v>
      </c>
      <c r="AF11" s="1" t="s">
        <v>96</v>
      </c>
      <c r="AG11" s="1">
        <v>0.0096</v>
      </c>
      <c r="AH11" s="1">
        <v>0.1193</v>
      </c>
      <c r="AI11" s="1">
        <v>0.0227</v>
      </c>
      <c r="AJ11" s="1">
        <v>2.7434</v>
      </c>
      <c r="AK11" s="1">
        <v>0.0646</v>
      </c>
      <c r="AL11" s="1" t="s">
        <v>96</v>
      </c>
      <c r="AM11" s="1">
        <v>0.0158</v>
      </c>
      <c r="AN11" s="1" t="s">
        <v>96</v>
      </c>
      <c r="AO11" s="1">
        <v>0.0032</v>
      </c>
      <c r="AP11" s="1">
        <v>0.0081</v>
      </c>
      <c r="AQ11" s="1">
        <v>0.002</v>
      </c>
      <c r="AR11" s="1">
        <v>0.006</v>
      </c>
      <c r="AS11" s="1">
        <v>0.0019</v>
      </c>
      <c r="AT11" s="1">
        <v>0.0051</v>
      </c>
      <c r="AU11" s="1">
        <v>0.0044</v>
      </c>
      <c r="AV11" s="1" t="s">
        <v>96</v>
      </c>
      <c r="AW11" s="1">
        <v>0.005</v>
      </c>
      <c r="AX11" s="1" t="s">
        <v>96</v>
      </c>
      <c r="AY11" s="1">
        <v>4.0E-4</v>
      </c>
      <c r="AZ11" s="1">
        <v>0.0111</v>
      </c>
      <c r="BA11" s="1">
        <v>0.0012</v>
      </c>
      <c r="BB11" s="1">
        <v>0.0029</v>
      </c>
      <c r="BC11" s="1">
        <v>7.0E-4</v>
      </c>
      <c r="BD11" s="1">
        <v>0.004</v>
      </c>
      <c r="BE11" s="1">
        <f t="shared" si="1"/>
        <v>40</v>
      </c>
      <c r="BF11" s="3">
        <f t="shared" si="2"/>
        <v>46</v>
      </c>
      <c r="BG11" s="1">
        <v>5.0E-4</v>
      </c>
      <c r="BH11" s="1"/>
      <c r="BI11" s="1">
        <v>0.0619</v>
      </c>
      <c r="BJ11" s="1">
        <v>0.002</v>
      </c>
      <c r="BK11" s="1" t="s">
        <v>96</v>
      </c>
      <c r="BL11" s="1">
        <v>0.0048</v>
      </c>
      <c r="BM11" s="1" t="s">
        <v>96</v>
      </c>
      <c r="BN11" s="1">
        <v>0.0029</v>
      </c>
      <c r="BO11" s="1" t="s">
        <v>96</v>
      </c>
      <c r="BP11" s="1">
        <v>0.0176</v>
      </c>
      <c r="BQ11" s="1" t="s">
        <v>96</v>
      </c>
      <c r="BR11" s="1">
        <v>0.0027</v>
      </c>
      <c r="BS11" s="1">
        <v>0.0071</v>
      </c>
      <c r="BT11" s="1">
        <v>0.0034</v>
      </c>
      <c r="BU11" s="1" t="s">
        <v>96</v>
      </c>
      <c r="BV11" s="1">
        <v>0.0048</v>
      </c>
      <c r="BW11" s="1" t="s">
        <v>96</v>
      </c>
      <c r="BX11" s="1">
        <v>0.0038</v>
      </c>
      <c r="BY11" s="1" t="s">
        <v>96</v>
      </c>
      <c r="BZ11" s="1">
        <v>0.0012</v>
      </c>
      <c r="CA11" s="1">
        <v>0.041</v>
      </c>
      <c r="CB11" s="1">
        <v>0.0115</v>
      </c>
      <c r="CC11" s="1" t="s">
        <v>96</v>
      </c>
      <c r="CD11" s="1">
        <v>0.0027</v>
      </c>
      <c r="CE11" s="1"/>
      <c r="CF11" s="1"/>
      <c r="CG11" s="1" t="s">
        <v>96</v>
      </c>
      <c r="CH11" s="1">
        <v>2.0E-4</v>
      </c>
      <c r="CI11" s="1"/>
      <c r="CJ11" s="1"/>
      <c r="CK11" s="1" t="s">
        <v>96</v>
      </c>
      <c r="CL11" s="1">
        <v>0.002</v>
      </c>
      <c r="CM11" s="1">
        <v>0.0024</v>
      </c>
      <c r="CN11" s="1">
        <v>0.0019</v>
      </c>
      <c r="CO11" s="1">
        <v>0.0017</v>
      </c>
      <c r="CP11" s="1"/>
      <c r="CQ11" s="1"/>
      <c r="CR11" s="1"/>
      <c r="CS11" s="1"/>
      <c r="CT11" s="1"/>
      <c r="CU11" s="1"/>
      <c r="CV11" s="1"/>
      <c r="CW11" s="1"/>
      <c r="CX11" s="1"/>
      <c r="CY11" s="1"/>
    </row>
    <row r="12" ht="14.25" customHeight="1">
      <c r="A12" s="1" t="s">
        <v>113</v>
      </c>
      <c r="B12" s="1">
        <v>1139869.0</v>
      </c>
      <c r="C12" s="3">
        <v>252.33049</v>
      </c>
      <c r="D12" s="3">
        <v>726282.403376</v>
      </c>
      <c r="E12" s="3">
        <v>5987493.774267</v>
      </c>
      <c r="F12" s="4">
        <v>0.0</v>
      </c>
      <c r="G12" s="4">
        <v>1.0</v>
      </c>
      <c r="H12" s="1" t="s">
        <v>106</v>
      </c>
      <c r="I12" s="1" t="s">
        <v>110</v>
      </c>
      <c r="J12" s="1"/>
      <c r="K12" s="1"/>
      <c r="L12" s="1"/>
      <c r="M12" s="2"/>
      <c r="N12" s="2" t="s">
        <v>114</v>
      </c>
      <c r="O12" s="1" t="s">
        <v>115</v>
      </c>
      <c r="P12" s="1"/>
      <c r="Q12" s="1"/>
      <c r="R12" s="1">
        <v>6.6471</v>
      </c>
      <c r="S12" s="1">
        <v>0.1845</v>
      </c>
      <c r="T12" s="1">
        <v>19.2852</v>
      </c>
      <c r="U12" s="1">
        <v>0.1832</v>
      </c>
      <c r="V12" s="1" t="s">
        <v>96</v>
      </c>
      <c r="W12" s="1">
        <v>1.2114</v>
      </c>
      <c r="X12" s="1">
        <v>1.2645</v>
      </c>
      <c r="Y12" s="1">
        <v>0.6086</v>
      </c>
      <c r="Z12" s="1">
        <v>0.1366</v>
      </c>
      <c r="AA12" s="1">
        <v>0.0792</v>
      </c>
      <c r="AB12" s="1">
        <v>0.5615</v>
      </c>
      <c r="AC12" s="1">
        <v>0.0843</v>
      </c>
      <c r="AD12" s="1" t="s">
        <v>96</v>
      </c>
      <c r="AE12" s="1">
        <v>0.0144</v>
      </c>
      <c r="AF12" s="1"/>
      <c r="AG12" s="1"/>
      <c r="AH12" s="1">
        <v>0.0153</v>
      </c>
      <c r="AI12" s="1">
        <v>0.0124</v>
      </c>
      <c r="AJ12" s="1">
        <v>2.0793</v>
      </c>
      <c r="AK12" s="1">
        <v>0.0525</v>
      </c>
      <c r="AL12" s="1" t="s">
        <v>96</v>
      </c>
      <c r="AM12" s="1">
        <v>0.0145</v>
      </c>
      <c r="AN12" s="1" t="s">
        <v>96</v>
      </c>
      <c r="AO12" s="1">
        <v>0.0032</v>
      </c>
      <c r="AP12" s="1">
        <v>0.0045</v>
      </c>
      <c r="AQ12" s="1">
        <v>0.0016</v>
      </c>
      <c r="AR12" s="1">
        <v>0.0052</v>
      </c>
      <c r="AS12" s="1">
        <v>0.0017</v>
      </c>
      <c r="AT12" s="1">
        <v>0.0046</v>
      </c>
      <c r="AU12" s="1">
        <v>0.0045</v>
      </c>
      <c r="AV12" s="1" t="s">
        <v>96</v>
      </c>
      <c r="AW12" s="1">
        <v>0.0047</v>
      </c>
      <c r="AX12" s="1" t="s">
        <v>96</v>
      </c>
      <c r="AY12" s="1">
        <v>4.0E-4</v>
      </c>
      <c r="AZ12" s="1">
        <v>0.0064</v>
      </c>
      <c r="BA12" s="1">
        <v>9.0E-4</v>
      </c>
      <c r="BB12" s="1">
        <v>0.0016</v>
      </c>
      <c r="BC12" s="1">
        <v>5.0E-4</v>
      </c>
      <c r="BD12" s="1">
        <v>0.0039</v>
      </c>
      <c r="BE12" s="1">
        <f t="shared" si="1"/>
        <v>39</v>
      </c>
      <c r="BF12" s="3">
        <f t="shared" si="2"/>
        <v>44.85</v>
      </c>
      <c r="BG12" s="1">
        <v>5.0E-4</v>
      </c>
      <c r="BH12" s="1"/>
      <c r="BI12" s="1">
        <v>0.0572</v>
      </c>
      <c r="BJ12" s="1">
        <v>0.0018</v>
      </c>
      <c r="BK12" s="1" t="s">
        <v>96</v>
      </c>
      <c r="BL12" s="1">
        <v>0.005</v>
      </c>
      <c r="BM12" s="1" t="s">
        <v>96</v>
      </c>
      <c r="BN12" s="1">
        <v>0.003</v>
      </c>
      <c r="BO12" s="1" t="s">
        <v>96</v>
      </c>
      <c r="BP12" s="1">
        <v>0.0191</v>
      </c>
      <c r="BQ12" s="1" t="s">
        <v>96</v>
      </c>
      <c r="BR12" s="1">
        <v>0.0026</v>
      </c>
      <c r="BS12" s="1">
        <v>0.0075</v>
      </c>
      <c r="BT12" s="1">
        <v>0.0033</v>
      </c>
      <c r="BU12" s="1" t="s">
        <v>96</v>
      </c>
      <c r="BV12" s="1">
        <v>0.0046</v>
      </c>
      <c r="BW12" s="1" t="s">
        <v>96</v>
      </c>
      <c r="BX12" s="1">
        <v>0.0036</v>
      </c>
      <c r="BY12" s="1" t="s">
        <v>96</v>
      </c>
      <c r="BZ12" s="1">
        <v>0.0011</v>
      </c>
      <c r="CA12" s="1">
        <v>0.0165</v>
      </c>
      <c r="CB12" s="1">
        <v>0.0104</v>
      </c>
      <c r="CC12" s="1" t="s">
        <v>96</v>
      </c>
      <c r="CD12" s="1">
        <v>0.0025</v>
      </c>
      <c r="CE12" s="1" t="s">
        <v>96</v>
      </c>
      <c r="CF12" s="1">
        <v>0.0081</v>
      </c>
      <c r="CG12" s="1" t="s">
        <v>96</v>
      </c>
      <c r="CH12" s="1">
        <v>2.0E-4</v>
      </c>
      <c r="CI12" s="1"/>
      <c r="CJ12" s="1"/>
      <c r="CK12" s="1" t="s">
        <v>96</v>
      </c>
      <c r="CL12" s="1">
        <v>0.002</v>
      </c>
      <c r="CM12" s="1">
        <v>0.0021</v>
      </c>
      <c r="CN12" s="1">
        <v>0.0017</v>
      </c>
      <c r="CO12" s="1" t="s">
        <v>96</v>
      </c>
      <c r="CP12" s="1"/>
      <c r="CQ12" s="1"/>
      <c r="CR12" s="1"/>
      <c r="CS12" s="1"/>
      <c r="CT12" s="1"/>
      <c r="CU12" s="1"/>
      <c r="CV12" s="1"/>
      <c r="CW12" s="1"/>
      <c r="CX12" s="1"/>
      <c r="CY12" s="1"/>
    </row>
    <row r="13" ht="14.25" customHeight="1">
      <c r="A13" s="1" t="s">
        <v>116</v>
      </c>
      <c r="B13" s="1">
        <v>1139870.0</v>
      </c>
      <c r="C13" s="3">
        <v>275.873505</v>
      </c>
      <c r="D13" s="3">
        <v>728458.538049</v>
      </c>
      <c r="E13" s="3">
        <v>5987600.335859</v>
      </c>
      <c r="F13" s="4">
        <v>0.0</v>
      </c>
      <c r="G13" s="4">
        <v>0.7</v>
      </c>
      <c r="H13" s="1" t="s">
        <v>108</v>
      </c>
      <c r="I13" s="1" t="s">
        <v>110</v>
      </c>
      <c r="J13" s="1"/>
      <c r="K13" s="1"/>
      <c r="L13" s="1"/>
      <c r="M13" s="2"/>
      <c r="N13" s="2"/>
      <c r="O13" s="1"/>
      <c r="P13" s="1"/>
      <c r="Q13" s="1"/>
      <c r="R13" s="1">
        <v>6.5106</v>
      </c>
      <c r="S13" s="1">
        <v>0.1842</v>
      </c>
      <c r="T13" s="1">
        <v>16.1875</v>
      </c>
      <c r="U13" s="1">
        <v>0.167</v>
      </c>
      <c r="V13" s="1" t="s">
        <v>96</v>
      </c>
      <c r="W13" s="1">
        <v>1.1869</v>
      </c>
      <c r="X13" s="1">
        <v>0.8343</v>
      </c>
      <c r="Y13" s="1">
        <v>0.5628</v>
      </c>
      <c r="Z13" s="1">
        <v>0.1796</v>
      </c>
      <c r="AA13" s="1">
        <v>0.0855</v>
      </c>
      <c r="AB13" s="1">
        <v>0.699</v>
      </c>
      <c r="AC13" s="1">
        <v>0.0943</v>
      </c>
      <c r="AD13" s="1">
        <v>0.0196</v>
      </c>
      <c r="AE13" s="1">
        <v>0.0172</v>
      </c>
      <c r="AF13" s="1" t="s">
        <v>96</v>
      </c>
      <c r="AG13" s="1">
        <v>0.0103</v>
      </c>
      <c r="AH13" s="1">
        <v>0.1603</v>
      </c>
      <c r="AI13" s="1">
        <v>0.0261</v>
      </c>
      <c r="AJ13" s="1">
        <v>3.6165</v>
      </c>
      <c r="AK13" s="1">
        <v>0.0776</v>
      </c>
      <c r="AL13" s="1" t="s">
        <v>96</v>
      </c>
      <c r="AM13" s="1">
        <v>0.0178</v>
      </c>
      <c r="AN13" s="1" t="s">
        <v>96</v>
      </c>
      <c r="AO13" s="1">
        <v>0.0039</v>
      </c>
      <c r="AP13" s="1">
        <v>0.0103</v>
      </c>
      <c r="AQ13" s="1">
        <v>0.0022</v>
      </c>
      <c r="AR13" s="1">
        <v>0.0052</v>
      </c>
      <c r="AS13" s="1">
        <v>0.0019</v>
      </c>
      <c r="AT13" s="1">
        <v>0.005</v>
      </c>
      <c r="AU13" s="1">
        <v>0.0044</v>
      </c>
      <c r="AV13" s="1" t="s">
        <v>96</v>
      </c>
      <c r="AW13" s="1">
        <v>0.0057</v>
      </c>
      <c r="AX13" s="1" t="s">
        <v>96</v>
      </c>
      <c r="AY13" s="1">
        <v>5.0E-4</v>
      </c>
      <c r="AZ13" s="1">
        <v>0.0094</v>
      </c>
      <c r="BA13" s="1">
        <v>0.0012</v>
      </c>
      <c r="BB13" s="1">
        <v>0.0021</v>
      </c>
      <c r="BC13" s="1">
        <v>7.0E-4</v>
      </c>
      <c r="BD13" s="1">
        <v>0.0034</v>
      </c>
      <c r="BE13" s="1">
        <f t="shared" si="1"/>
        <v>34</v>
      </c>
      <c r="BF13" s="3">
        <f t="shared" si="2"/>
        <v>39.1</v>
      </c>
      <c r="BG13" s="1">
        <v>5.0E-4</v>
      </c>
      <c r="BH13" s="1"/>
      <c r="BI13" s="1">
        <v>0.0551</v>
      </c>
      <c r="BJ13" s="1">
        <v>0.002</v>
      </c>
      <c r="BK13" s="1" t="s">
        <v>96</v>
      </c>
      <c r="BL13" s="1">
        <v>0.0047</v>
      </c>
      <c r="BM13" s="1" t="s">
        <v>96</v>
      </c>
      <c r="BN13" s="1">
        <v>0.0028</v>
      </c>
      <c r="BO13" s="1" t="s">
        <v>96</v>
      </c>
      <c r="BP13" s="1">
        <v>0.017</v>
      </c>
      <c r="BQ13" s="1" t="s">
        <v>96</v>
      </c>
      <c r="BR13" s="1">
        <v>0.0029</v>
      </c>
      <c r="BS13" s="1">
        <v>0.0147</v>
      </c>
      <c r="BT13" s="1">
        <v>0.0037</v>
      </c>
      <c r="BU13" s="1" t="s">
        <v>96</v>
      </c>
      <c r="BV13" s="1">
        <v>0.0052</v>
      </c>
      <c r="BW13" s="1" t="s">
        <v>96</v>
      </c>
      <c r="BX13" s="1">
        <v>0.0043</v>
      </c>
      <c r="BY13" s="1" t="s">
        <v>96</v>
      </c>
      <c r="BZ13" s="1">
        <v>0.0013</v>
      </c>
      <c r="CA13" s="1">
        <v>0.0206</v>
      </c>
      <c r="CB13" s="1">
        <v>0.0123</v>
      </c>
      <c r="CC13" s="1" t="s">
        <v>96</v>
      </c>
      <c r="CD13" s="1">
        <v>0.0027</v>
      </c>
      <c r="CE13" s="1"/>
      <c r="CF13" s="1"/>
      <c r="CG13" s="1" t="s">
        <v>96</v>
      </c>
      <c r="CH13" s="1">
        <v>2.0E-4</v>
      </c>
      <c r="CI13" s="1"/>
      <c r="CJ13" s="1"/>
      <c r="CK13" s="1">
        <v>0.0032</v>
      </c>
      <c r="CL13" s="1">
        <v>0.0024</v>
      </c>
      <c r="CM13" s="1">
        <v>0.0025</v>
      </c>
      <c r="CN13" s="1">
        <v>0.002</v>
      </c>
      <c r="CO13" s="1">
        <v>0.0015</v>
      </c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ht="14.25" customHeight="1">
      <c r="A14" s="1" t="s">
        <v>117</v>
      </c>
      <c r="B14" s="1">
        <v>1139871.0</v>
      </c>
      <c r="C14" s="3">
        <v>202.502502</v>
      </c>
      <c r="D14" s="3">
        <v>732335.142249</v>
      </c>
      <c r="E14" s="3">
        <v>5990031.701948</v>
      </c>
      <c r="F14" s="4">
        <v>0.0</v>
      </c>
      <c r="G14" s="8">
        <v>0.8</v>
      </c>
      <c r="H14" s="1" t="s">
        <v>108</v>
      </c>
      <c r="I14" s="1" t="s">
        <v>118</v>
      </c>
      <c r="J14" s="1"/>
      <c r="K14" s="1"/>
      <c r="L14" s="1"/>
      <c r="M14" s="2"/>
      <c r="N14" s="2" t="s">
        <v>111</v>
      </c>
      <c r="O14" s="1" t="s">
        <v>119</v>
      </c>
      <c r="P14" s="1" t="s">
        <v>120</v>
      </c>
      <c r="Q14" s="1"/>
      <c r="R14" s="1">
        <v>5.4244</v>
      </c>
      <c r="S14" s="1">
        <v>0.192</v>
      </c>
      <c r="T14" s="1">
        <v>11.8274</v>
      </c>
      <c r="U14" s="1">
        <v>0.1529</v>
      </c>
      <c r="V14" s="1" t="s">
        <v>96</v>
      </c>
      <c r="W14" s="1">
        <v>0.9585</v>
      </c>
      <c r="X14" s="1">
        <v>0.5793</v>
      </c>
      <c r="Y14" s="1">
        <v>0.4734</v>
      </c>
      <c r="Z14" s="1">
        <v>0.5985</v>
      </c>
      <c r="AA14" s="1">
        <v>0.1362</v>
      </c>
      <c r="AB14" s="1">
        <v>1.0364</v>
      </c>
      <c r="AC14" s="1">
        <v>0.1136</v>
      </c>
      <c r="AD14" s="1">
        <v>0.0403</v>
      </c>
      <c r="AE14" s="1">
        <v>0.0208</v>
      </c>
      <c r="AF14" s="1" t="s">
        <v>96</v>
      </c>
      <c r="AG14" s="1">
        <v>0.0106</v>
      </c>
      <c r="AH14" s="1">
        <v>0.1398</v>
      </c>
      <c r="AI14" s="1">
        <v>0.0249</v>
      </c>
      <c r="AJ14" s="1">
        <v>8.0479</v>
      </c>
      <c r="AK14" s="1">
        <v>0.1489</v>
      </c>
      <c r="AL14" s="1" t="s">
        <v>96</v>
      </c>
      <c r="AM14" s="1">
        <v>0.0204</v>
      </c>
      <c r="AN14" s="1" t="s">
        <v>96</v>
      </c>
      <c r="AO14" s="1">
        <v>0.0045</v>
      </c>
      <c r="AP14" s="1">
        <v>0.0163</v>
      </c>
      <c r="AQ14" s="1">
        <v>0.0031</v>
      </c>
      <c r="AR14" s="1">
        <v>0.0062</v>
      </c>
      <c r="AS14" s="1">
        <v>0.0026</v>
      </c>
      <c r="AT14" s="1" t="s">
        <v>96</v>
      </c>
      <c r="AU14" s="1">
        <v>0.0035</v>
      </c>
      <c r="AV14" s="1" t="s">
        <v>96</v>
      </c>
      <c r="AW14" s="1">
        <v>0.0088</v>
      </c>
      <c r="AX14" s="1" t="s">
        <v>96</v>
      </c>
      <c r="AY14" s="1">
        <v>8.0E-4</v>
      </c>
      <c r="AZ14" s="1">
        <v>0.0034</v>
      </c>
      <c r="BA14" s="1">
        <v>0.0011</v>
      </c>
      <c r="BB14" s="1">
        <v>0.0152</v>
      </c>
      <c r="BC14" s="1">
        <v>0.0018</v>
      </c>
      <c r="BD14" s="1">
        <v>0.004</v>
      </c>
      <c r="BE14" s="1">
        <f t="shared" si="1"/>
        <v>40</v>
      </c>
      <c r="BF14" s="3">
        <f t="shared" si="2"/>
        <v>46</v>
      </c>
      <c r="BG14" s="1">
        <v>7.0E-4</v>
      </c>
      <c r="BH14" s="1"/>
      <c r="BI14" s="1">
        <v>0.0151</v>
      </c>
      <c r="BJ14" s="1">
        <v>0.0016</v>
      </c>
      <c r="BK14" s="1" t="s">
        <v>96</v>
      </c>
      <c r="BL14" s="1">
        <v>0.0039</v>
      </c>
      <c r="BM14" s="1" t="s">
        <v>96</v>
      </c>
      <c r="BN14" s="1">
        <v>0.0022</v>
      </c>
      <c r="BO14" s="1" t="s">
        <v>96</v>
      </c>
      <c r="BP14" s="1">
        <v>0.0116</v>
      </c>
      <c r="BQ14" s="1" t="s">
        <v>96</v>
      </c>
      <c r="BR14" s="1">
        <v>0.0038</v>
      </c>
      <c r="BS14" s="1">
        <v>0.0361</v>
      </c>
      <c r="BT14" s="1">
        <v>0.0051</v>
      </c>
      <c r="BU14" s="1"/>
      <c r="BV14" s="1"/>
      <c r="BW14" s="1" t="s">
        <v>96</v>
      </c>
      <c r="BX14" s="1">
        <v>0.006</v>
      </c>
      <c r="BY14" s="1" t="s">
        <v>96</v>
      </c>
      <c r="BZ14" s="1">
        <v>0.0021</v>
      </c>
      <c r="CA14" s="1">
        <v>0.0349</v>
      </c>
      <c r="CB14" s="1">
        <v>0.0191</v>
      </c>
      <c r="CC14" s="1" t="s">
        <v>96</v>
      </c>
      <c r="CD14" s="1">
        <v>0.0041</v>
      </c>
      <c r="CE14" s="1" t="s">
        <v>96</v>
      </c>
      <c r="CF14" s="1">
        <v>0.0072</v>
      </c>
      <c r="CG14" s="1" t="s">
        <v>96</v>
      </c>
      <c r="CH14" s="1">
        <v>3.0E-4</v>
      </c>
      <c r="CI14" s="1"/>
      <c r="CJ14" s="1"/>
      <c r="CK14" s="1" t="s">
        <v>96</v>
      </c>
      <c r="CL14" s="1">
        <v>0.0032</v>
      </c>
      <c r="CM14" s="1" t="s">
        <v>96</v>
      </c>
      <c r="CN14" s="1">
        <v>0.0029</v>
      </c>
      <c r="CO14" s="1" t="s">
        <v>96</v>
      </c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r="15" ht="14.25" customHeight="1">
      <c r="A15" s="1" t="s">
        <v>117</v>
      </c>
      <c r="B15" s="1">
        <v>1139872.0</v>
      </c>
      <c r="C15" s="3">
        <v>202.502502</v>
      </c>
      <c r="D15" s="3">
        <v>732335.142249</v>
      </c>
      <c r="E15" s="3">
        <v>5990031.701948</v>
      </c>
      <c r="F15" s="4">
        <v>0.0</v>
      </c>
      <c r="G15" s="4">
        <v>0.3</v>
      </c>
      <c r="H15" s="1" t="s">
        <v>108</v>
      </c>
      <c r="I15" s="1" t="s">
        <v>118</v>
      </c>
      <c r="J15" s="1"/>
      <c r="K15" s="1"/>
      <c r="L15" s="1"/>
      <c r="M15" s="2"/>
      <c r="N15" s="2"/>
      <c r="O15" s="1"/>
      <c r="P15" s="1"/>
      <c r="Q15" s="1"/>
      <c r="R15" s="1">
        <v>5.4922</v>
      </c>
      <c r="S15" s="1">
        <v>0.1973</v>
      </c>
      <c r="T15" s="1">
        <v>14.6014</v>
      </c>
      <c r="U15" s="1">
        <v>0.1741</v>
      </c>
      <c r="V15" s="1" t="s">
        <v>96</v>
      </c>
      <c r="W15" s="1">
        <v>1.1621</v>
      </c>
      <c r="X15" s="1" t="s">
        <v>96</v>
      </c>
      <c r="Y15" s="1">
        <v>0.3876</v>
      </c>
      <c r="Z15" s="1">
        <v>0.878</v>
      </c>
      <c r="AA15" s="1">
        <v>0.1635</v>
      </c>
      <c r="AB15" s="1">
        <v>1.4662</v>
      </c>
      <c r="AC15" s="1">
        <v>0.1339</v>
      </c>
      <c r="AD15" s="1">
        <v>0.0519</v>
      </c>
      <c r="AE15" s="1">
        <v>0.0233</v>
      </c>
      <c r="AF15" s="1"/>
      <c r="AG15" s="1"/>
      <c r="AH15" s="1">
        <v>0.1327</v>
      </c>
      <c r="AI15" s="1">
        <v>0.025</v>
      </c>
      <c r="AJ15" s="1">
        <v>6.4032</v>
      </c>
      <c r="AK15" s="1">
        <v>0.1123</v>
      </c>
      <c r="AL15" s="1" t="s">
        <v>96</v>
      </c>
      <c r="AM15" s="1">
        <v>0.0224</v>
      </c>
      <c r="AN15" s="1" t="s">
        <v>96</v>
      </c>
      <c r="AO15" s="1">
        <v>0.0047</v>
      </c>
      <c r="AP15" s="1">
        <v>0.0149</v>
      </c>
      <c r="AQ15" s="1">
        <v>0.0025</v>
      </c>
      <c r="AR15" s="1">
        <v>0.0053</v>
      </c>
      <c r="AS15" s="1">
        <v>0.002</v>
      </c>
      <c r="AT15" s="1" t="s">
        <v>96</v>
      </c>
      <c r="AU15" s="1">
        <v>0.0037</v>
      </c>
      <c r="AV15" s="1" t="s">
        <v>96</v>
      </c>
      <c r="AW15" s="1">
        <v>0.0064</v>
      </c>
      <c r="AX15" s="1" t="s">
        <v>96</v>
      </c>
      <c r="AY15" s="1">
        <v>6.0E-4</v>
      </c>
      <c r="AZ15" s="1">
        <v>7.0E-4</v>
      </c>
      <c r="BA15" s="1">
        <v>7.0E-4</v>
      </c>
      <c r="BB15" s="1">
        <v>0.0159</v>
      </c>
      <c r="BC15" s="1">
        <v>0.0015</v>
      </c>
      <c r="BD15" s="1">
        <v>0.0027</v>
      </c>
      <c r="BE15" s="1">
        <f t="shared" si="1"/>
        <v>27</v>
      </c>
      <c r="BF15" s="3">
        <f t="shared" si="2"/>
        <v>31.05</v>
      </c>
      <c r="BG15" s="1">
        <v>5.0E-4</v>
      </c>
      <c r="BH15" s="1"/>
      <c r="BI15" s="1">
        <v>0.0142</v>
      </c>
      <c r="BJ15" s="1">
        <v>0.0012</v>
      </c>
      <c r="BK15" s="1" t="s">
        <v>96</v>
      </c>
      <c r="BL15" s="1">
        <v>0.0044</v>
      </c>
      <c r="BM15" s="1" t="s">
        <v>96</v>
      </c>
      <c r="BN15" s="1">
        <v>0.0026</v>
      </c>
      <c r="BO15" s="1" t="s">
        <v>96</v>
      </c>
      <c r="BP15" s="1">
        <v>0.0147</v>
      </c>
      <c r="BQ15" s="1" t="s">
        <v>96</v>
      </c>
      <c r="BR15" s="1">
        <v>0.003</v>
      </c>
      <c r="BS15" s="1">
        <v>0.0194</v>
      </c>
      <c r="BT15" s="1">
        <v>0.0039</v>
      </c>
      <c r="BU15" s="1" t="s">
        <v>96</v>
      </c>
      <c r="BV15" s="1">
        <v>0.0055</v>
      </c>
      <c r="BW15" s="1" t="s">
        <v>96</v>
      </c>
      <c r="BX15" s="1">
        <v>0.0044</v>
      </c>
      <c r="BY15" s="1" t="s">
        <v>96</v>
      </c>
      <c r="BZ15" s="1">
        <v>0.0015</v>
      </c>
      <c r="CA15" s="1">
        <v>0.0154</v>
      </c>
      <c r="CB15" s="1">
        <v>0.0139</v>
      </c>
      <c r="CC15" s="1" t="s">
        <v>96</v>
      </c>
      <c r="CD15" s="1">
        <v>0.0032</v>
      </c>
      <c r="CE15" s="1" t="s">
        <v>96</v>
      </c>
      <c r="CF15" s="1">
        <v>0.0079</v>
      </c>
      <c r="CG15" s="1" t="s">
        <v>96</v>
      </c>
      <c r="CH15" s="1">
        <v>2.0E-4</v>
      </c>
      <c r="CI15" s="1"/>
      <c r="CJ15" s="1"/>
      <c r="CK15" s="1" t="s">
        <v>96</v>
      </c>
      <c r="CL15" s="1">
        <v>0.0023</v>
      </c>
      <c r="CM15" s="1" t="s">
        <v>96</v>
      </c>
      <c r="CN15" s="1">
        <v>0.0021</v>
      </c>
      <c r="CO15" s="1" t="s">
        <v>96</v>
      </c>
      <c r="CP15" s="1"/>
      <c r="CQ15" s="1"/>
      <c r="CR15" s="1"/>
      <c r="CS15" s="1"/>
      <c r="CT15" s="1"/>
      <c r="CU15" s="1"/>
      <c r="CV15" s="1"/>
      <c r="CW15" s="1"/>
      <c r="CX15" s="1"/>
      <c r="CY15" s="1"/>
    </row>
    <row r="16" ht="14.25" customHeight="1">
      <c r="A16" s="1" t="s">
        <v>121</v>
      </c>
      <c r="B16" s="1">
        <v>1139873.0</v>
      </c>
      <c r="C16" s="3">
        <v>300.17852800000003</v>
      </c>
      <c r="D16" s="3">
        <v>732923.5384</v>
      </c>
      <c r="E16" s="3">
        <v>5991352.888538</v>
      </c>
      <c r="F16" s="3"/>
      <c r="G16" s="3"/>
      <c r="H16" s="1" t="s">
        <v>108</v>
      </c>
      <c r="I16" s="1" t="s">
        <v>122</v>
      </c>
      <c r="J16" s="1"/>
      <c r="K16" s="1"/>
      <c r="L16" s="1"/>
      <c r="M16" s="2"/>
      <c r="N16" s="2" t="s">
        <v>111</v>
      </c>
      <c r="O16" s="1" t="s">
        <v>123</v>
      </c>
      <c r="P16" s="1"/>
      <c r="Q16" s="1"/>
      <c r="R16" s="1">
        <v>7.1953</v>
      </c>
      <c r="S16" s="1">
        <v>0.22</v>
      </c>
      <c r="T16" s="1">
        <v>22.2886</v>
      </c>
      <c r="U16" s="1">
        <v>0.2245</v>
      </c>
      <c r="V16" s="1" t="s">
        <v>96</v>
      </c>
      <c r="W16" s="1">
        <v>1.1621</v>
      </c>
      <c r="X16" s="1">
        <v>1.4509</v>
      </c>
      <c r="Y16" s="1">
        <v>0.6434</v>
      </c>
      <c r="Z16" s="1">
        <v>0.6299</v>
      </c>
      <c r="AA16" s="1">
        <v>0.138</v>
      </c>
      <c r="AB16" s="1">
        <v>0.5165</v>
      </c>
      <c r="AC16" s="1">
        <v>0.0827</v>
      </c>
      <c r="AD16" s="1" t="s">
        <v>96</v>
      </c>
      <c r="AE16" s="1">
        <v>0.0159</v>
      </c>
      <c r="AF16" s="1"/>
      <c r="AG16" s="1"/>
      <c r="AH16" s="1">
        <v>0.0406</v>
      </c>
      <c r="AI16" s="1">
        <v>0.016</v>
      </c>
      <c r="AJ16" s="1">
        <v>2.3984</v>
      </c>
      <c r="AK16" s="1">
        <v>0.0578</v>
      </c>
      <c r="AL16" s="1" t="s">
        <v>96</v>
      </c>
      <c r="AM16" s="1">
        <v>0.0153</v>
      </c>
      <c r="AN16" s="1" t="s">
        <v>96</v>
      </c>
      <c r="AO16" s="1">
        <v>0.0039</v>
      </c>
      <c r="AP16" s="1">
        <v>0.0077</v>
      </c>
      <c r="AQ16" s="1">
        <v>0.002</v>
      </c>
      <c r="AR16" s="1">
        <v>0.0056</v>
      </c>
      <c r="AS16" s="1">
        <v>0.0018</v>
      </c>
      <c r="AT16" s="1" t="s">
        <v>96</v>
      </c>
      <c r="AU16" s="1">
        <v>0.0045</v>
      </c>
      <c r="AV16" s="1" t="s">
        <v>96</v>
      </c>
      <c r="AW16" s="1">
        <v>0.0052</v>
      </c>
      <c r="AX16" s="1" t="s">
        <v>96</v>
      </c>
      <c r="AY16" s="1">
        <v>4.0E-4</v>
      </c>
      <c r="AZ16" s="1">
        <v>0.0072</v>
      </c>
      <c r="BA16" s="1">
        <v>0.001</v>
      </c>
      <c r="BB16" s="1">
        <v>0.0041</v>
      </c>
      <c r="BC16" s="1">
        <v>7.0E-4</v>
      </c>
      <c r="BD16" s="1">
        <v>0.0022</v>
      </c>
      <c r="BE16" s="1">
        <f t="shared" si="1"/>
        <v>22</v>
      </c>
      <c r="BF16" s="3">
        <f t="shared" si="2"/>
        <v>25.3</v>
      </c>
      <c r="BG16" s="1">
        <v>4.0E-4</v>
      </c>
      <c r="BH16" s="1"/>
      <c r="BI16" s="1">
        <v>0.0269</v>
      </c>
      <c r="BJ16" s="1">
        <v>0.0013</v>
      </c>
      <c r="BK16" s="1" t="s">
        <v>96</v>
      </c>
      <c r="BL16" s="1">
        <v>0.0048</v>
      </c>
      <c r="BM16" s="1" t="s">
        <v>96</v>
      </c>
      <c r="BN16" s="1">
        <v>0.003</v>
      </c>
      <c r="BO16" s="1" t="s">
        <v>96</v>
      </c>
      <c r="BP16" s="1">
        <v>0.0189</v>
      </c>
      <c r="BQ16" s="1" t="s">
        <v>96</v>
      </c>
      <c r="BR16" s="1">
        <v>0.0026</v>
      </c>
      <c r="BS16" s="1">
        <v>0.0077</v>
      </c>
      <c r="BT16" s="1">
        <v>0.0033</v>
      </c>
      <c r="BU16" s="1" t="s">
        <v>96</v>
      </c>
      <c r="BV16" s="1">
        <v>0.0046</v>
      </c>
      <c r="BW16" s="1" t="s">
        <v>96</v>
      </c>
      <c r="BX16" s="1">
        <v>0.0038</v>
      </c>
      <c r="BY16" s="1" t="s">
        <v>96</v>
      </c>
      <c r="BZ16" s="1">
        <v>0.0012</v>
      </c>
      <c r="CA16" s="1">
        <v>0.0316</v>
      </c>
      <c r="CB16" s="1">
        <v>0.011</v>
      </c>
      <c r="CC16" s="1" t="s">
        <v>96</v>
      </c>
      <c r="CD16" s="1">
        <v>0.0028</v>
      </c>
      <c r="CE16" s="1" t="s">
        <v>96</v>
      </c>
      <c r="CF16" s="1">
        <v>0.0081</v>
      </c>
      <c r="CG16" s="1" t="s">
        <v>96</v>
      </c>
      <c r="CH16" s="1">
        <v>2.0E-4</v>
      </c>
      <c r="CI16" s="1"/>
      <c r="CJ16" s="1"/>
      <c r="CK16" s="1" t="s">
        <v>96</v>
      </c>
      <c r="CL16" s="1">
        <v>0.002</v>
      </c>
      <c r="CM16" s="1" t="s">
        <v>96</v>
      </c>
      <c r="CN16" s="1">
        <v>0.0017</v>
      </c>
      <c r="CO16" s="1">
        <v>9.0E-4</v>
      </c>
      <c r="CP16" s="1"/>
      <c r="CQ16" s="1"/>
      <c r="CR16" s="1"/>
      <c r="CS16" s="1"/>
      <c r="CT16" s="1"/>
      <c r="CU16" s="1"/>
      <c r="CV16" s="1"/>
      <c r="CW16" s="1"/>
      <c r="CX16" s="1"/>
      <c r="CY16" s="1"/>
    </row>
    <row r="17" ht="14.25" customHeight="1">
      <c r="A17" s="1" t="s">
        <v>124</v>
      </c>
      <c r="B17" s="1">
        <v>1139874.0</v>
      </c>
      <c r="C17" s="3">
        <v>355.6651</v>
      </c>
      <c r="D17" s="3">
        <v>731776.764717</v>
      </c>
      <c r="E17" s="3">
        <v>5991280.599002</v>
      </c>
      <c r="F17" s="3"/>
      <c r="G17" s="3"/>
      <c r="H17" s="1" t="s">
        <v>108</v>
      </c>
      <c r="I17" s="1" t="s">
        <v>122</v>
      </c>
      <c r="J17" s="1"/>
      <c r="K17" s="1"/>
      <c r="L17" s="1"/>
      <c r="M17" s="2"/>
      <c r="N17" s="2"/>
      <c r="O17" s="1" t="s">
        <v>112</v>
      </c>
      <c r="P17" s="1"/>
      <c r="Q17" s="1"/>
      <c r="R17" s="1">
        <v>7.7592</v>
      </c>
      <c r="S17" s="1">
        <v>0.2166</v>
      </c>
      <c r="T17" s="1">
        <v>22.5725</v>
      </c>
      <c r="U17" s="1">
        <v>0.2194</v>
      </c>
      <c r="V17" s="1" t="s">
        <v>96</v>
      </c>
      <c r="W17" s="1">
        <v>1.1036</v>
      </c>
      <c r="X17" s="1">
        <v>1.309</v>
      </c>
      <c r="Y17" s="1">
        <v>0.5863</v>
      </c>
      <c r="Z17" s="1">
        <v>0.3472</v>
      </c>
      <c r="AA17" s="1">
        <v>0.1074</v>
      </c>
      <c r="AB17" s="1">
        <v>0.1947</v>
      </c>
      <c r="AC17" s="1">
        <v>0.0536</v>
      </c>
      <c r="AD17" s="1" t="s">
        <v>96</v>
      </c>
      <c r="AE17" s="1">
        <v>0.0115</v>
      </c>
      <c r="AF17" s="1"/>
      <c r="AG17" s="1"/>
      <c r="AH17" s="1">
        <v>0.029</v>
      </c>
      <c r="AI17" s="1">
        <v>0.0133</v>
      </c>
      <c r="AJ17" s="1">
        <v>1.5858</v>
      </c>
      <c r="AK17" s="1">
        <v>0.0449</v>
      </c>
      <c r="AL17" s="1" t="s">
        <v>96</v>
      </c>
      <c r="AM17" s="1">
        <v>0.0129</v>
      </c>
      <c r="AN17" s="1" t="s">
        <v>96</v>
      </c>
      <c r="AO17" s="1">
        <v>0.003</v>
      </c>
      <c r="AP17" s="1">
        <v>0.0049</v>
      </c>
      <c r="AQ17" s="1">
        <v>0.0016</v>
      </c>
      <c r="AR17" s="1">
        <v>0.0023</v>
      </c>
      <c r="AS17" s="1">
        <v>0.0012</v>
      </c>
      <c r="AT17" s="1">
        <v>0.005</v>
      </c>
      <c r="AU17" s="1">
        <v>0.0044</v>
      </c>
      <c r="AV17" s="1" t="s">
        <v>96</v>
      </c>
      <c r="AW17" s="1">
        <v>0.0043</v>
      </c>
      <c r="AX17" s="1" t="s">
        <v>96</v>
      </c>
      <c r="AY17" s="1">
        <v>4.0E-4</v>
      </c>
      <c r="AZ17" s="1">
        <v>0.0044</v>
      </c>
      <c r="BA17" s="1">
        <v>8.0E-4</v>
      </c>
      <c r="BB17" s="1">
        <v>0.0029</v>
      </c>
      <c r="BC17" s="1">
        <v>6.0E-4</v>
      </c>
      <c r="BD17" s="1">
        <v>0.0027</v>
      </c>
      <c r="BE17" s="1">
        <f t="shared" si="1"/>
        <v>27</v>
      </c>
      <c r="BF17" s="3">
        <f t="shared" si="2"/>
        <v>31.05</v>
      </c>
      <c r="BG17" s="1">
        <v>4.0E-4</v>
      </c>
      <c r="BH17" s="1"/>
      <c r="BI17" s="1">
        <v>0.0288</v>
      </c>
      <c r="BJ17" s="1">
        <v>0.0013</v>
      </c>
      <c r="BK17" s="1" t="s">
        <v>96</v>
      </c>
      <c r="BL17" s="1">
        <v>0.0048</v>
      </c>
      <c r="BM17" s="1" t="s">
        <v>96</v>
      </c>
      <c r="BN17" s="1">
        <v>0.003</v>
      </c>
      <c r="BO17" s="1" t="s">
        <v>96</v>
      </c>
      <c r="BP17" s="1">
        <v>0.0191</v>
      </c>
      <c r="BQ17" s="1" t="s">
        <v>96</v>
      </c>
      <c r="BR17" s="1">
        <v>0.0025</v>
      </c>
      <c r="BS17" s="1" t="s">
        <v>96</v>
      </c>
      <c r="BT17" s="1">
        <v>0.0031</v>
      </c>
      <c r="BU17" s="1" t="s">
        <v>96</v>
      </c>
      <c r="BV17" s="1">
        <v>0.0043</v>
      </c>
      <c r="BW17" s="1" t="s">
        <v>96</v>
      </c>
      <c r="BX17" s="1">
        <v>0.0033</v>
      </c>
      <c r="BY17" s="1" t="s">
        <v>96</v>
      </c>
      <c r="BZ17" s="1">
        <v>0.001</v>
      </c>
      <c r="CA17" s="1">
        <v>0.0159</v>
      </c>
      <c r="CB17" s="1">
        <v>0.0095</v>
      </c>
      <c r="CC17" s="1" t="s">
        <v>96</v>
      </c>
      <c r="CD17" s="1">
        <v>0.0024</v>
      </c>
      <c r="CE17" s="1" t="s">
        <v>96</v>
      </c>
      <c r="CF17" s="1">
        <v>0.0078</v>
      </c>
      <c r="CG17" s="1" t="s">
        <v>96</v>
      </c>
      <c r="CH17" s="1">
        <v>2.0E-4</v>
      </c>
      <c r="CI17" s="1"/>
      <c r="CJ17" s="1"/>
      <c r="CK17" s="1" t="s">
        <v>96</v>
      </c>
      <c r="CL17" s="1">
        <v>0.0017</v>
      </c>
      <c r="CM17" s="1">
        <v>0.0023</v>
      </c>
      <c r="CN17" s="1">
        <v>0.0016</v>
      </c>
      <c r="CO17" s="1" t="s">
        <v>96</v>
      </c>
      <c r="CP17" s="1"/>
      <c r="CQ17" s="1"/>
      <c r="CR17" s="1"/>
      <c r="CS17" s="1"/>
      <c r="CT17" s="1"/>
      <c r="CU17" s="1"/>
      <c r="CV17" s="1"/>
      <c r="CW17" s="1"/>
      <c r="CX17" s="1"/>
      <c r="CY17" s="1"/>
    </row>
    <row r="18" ht="14.25" customHeight="1">
      <c r="A18" s="1" t="s">
        <v>125</v>
      </c>
      <c r="B18" s="1">
        <v>1139875.0</v>
      </c>
      <c r="C18" s="3">
        <v>355.362183</v>
      </c>
      <c r="D18" s="3">
        <v>731539.204557</v>
      </c>
      <c r="E18" s="3">
        <v>5991196.852427</v>
      </c>
      <c r="F18" s="4">
        <v>0.0</v>
      </c>
      <c r="G18" s="4">
        <v>1.0</v>
      </c>
      <c r="H18" s="8" t="s">
        <v>108</v>
      </c>
      <c r="I18" s="1"/>
      <c r="J18" s="1"/>
      <c r="K18" s="1"/>
      <c r="L18" s="1"/>
      <c r="M18" s="2"/>
      <c r="N18" s="2"/>
      <c r="O18" s="1"/>
      <c r="P18" s="1"/>
      <c r="Q18" s="1"/>
      <c r="R18" s="1">
        <v>9.2847</v>
      </c>
      <c r="S18" s="1">
        <v>0.2463</v>
      </c>
      <c r="T18" s="1">
        <v>20.4064</v>
      </c>
      <c r="U18" s="1">
        <v>0.221</v>
      </c>
      <c r="V18" s="1" t="s">
        <v>96</v>
      </c>
      <c r="W18" s="1">
        <v>1.103</v>
      </c>
      <c r="X18" s="1">
        <v>1.8648</v>
      </c>
      <c r="Y18" s="1">
        <v>0.6956</v>
      </c>
      <c r="Z18" s="1">
        <v>0.2225</v>
      </c>
      <c r="AA18" s="1">
        <v>0.0892</v>
      </c>
      <c r="AB18" s="1">
        <v>0.2504</v>
      </c>
      <c r="AC18" s="1">
        <v>0.0619</v>
      </c>
      <c r="AD18" s="1" t="s">
        <v>96</v>
      </c>
      <c r="AE18" s="1">
        <v>0.0142</v>
      </c>
      <c r="AF18" s="1" t="s">
        <v>96</v>
      </c>
      <c r="AG18" s="1">
        <v>0.0105</v>
      </c>
      <c r="AH18" s="1">
        <v>0.0193</v>
      </c>
      <c r="AI18" s="1">
        <v>0.0138</v>
      </c>
      <c r="AJ18" s="1">
        <v>2.4935</v>
      </c>
      <c r="AK18" s="1">
        <v>0.0596</v>
      </c>
      <c r="AL18" s="1" t="s">
        <v>96</v>
      </c>
      <c r="AM18" s="1">
        <v>0.0155</v>
      </c>
      <c r="AN18" s="1" t="s">
        <v>96</v>
      </c>
      <c r="AO18" s="1">
        <v>0.0034</v>
      </c>
      <c r="AP18" s="1">
        <v>0.0082</v>
      </c>
      <c r="AQ18" s="1">
        <v>0.002</v>
      </c>
      <c r="AR18" s="1">
        <v>0.0068</v>
      </c>
      <c r="AS18" s="1">
        <v>0.0019</v>
      </c>
      <c r="AT18" s="1">
        <v>0.0082</v>
      </c>
      <c r="AU18" s="1">
        <v>0.0048</v>
      </c>
      <c r="AV18" s="1" t="s">
        <v>96</v>
      </c>
      <c r="AW18" s="1">
        <v>0.0051</v>
      </c>
      <c r="AX18" s="1" t="s">
        <v>96</v>
      </c>
      <c r="AY18" s="1">
        <v>4.0E-4</v>
      </c>
      <c r="AZ18" s="1">
        <v>0.01</v>
      </c>
      <c r="BA18" s="1">
        <v>0.0011</v>
      </c>
      <c r="BB18" s="1">
        <v>0.0026</v>
      </c>
      <c r="BC18" s="1">
        <v>6.0E-4</v>
      </c>
      <c r="BD18" s="1">
        <v>0.0054</v>
      </c>
      <c r="BE18" s="1">
        <f t="shared" si="1"/>
        <v>54</v>
      </c>
      <c r="BF18" s="3">
        <f t="shared" si="2"/>
        <v>62.1</v>
      </c>
      <c r="BG18" s="1">
        <v>6.0E-4</v>
      </c>
      <c r="BH18" s="1"/>
      <c r="BI18" s="1">
        <v>0.0358</v>
      </c>
      <c r="BJ18" s="1">
        <v>0.0015</v>
      </c>
      <c r="BK18" s="1" t="s">
        <v>96</v>
      </c>
      <c r="BL18" s="1">
        <v>0.0047</v>
      </c>
      <c r="BM18" s="1" t="s">
        <v>96</v>
      </c>
      <c r="BN18" s="1">
        <v>0.0029</v>
      </c>
      <c r="BO18" s="1" t="s">
        <v>96</v>
      </c>
      <c r="BP18" s="1">
        <v>0.0182</v>
      </c>
      <c r="BQ18" s="1" t="s">
        <v>96</v>
      </c>
      <c r="BR18" s="1">
        <v>0.0027</v>
      </c>
      <c r="BS18" s="1"/>
      <c r="BT18" s="1"/>
      <c r="BU18" s="1" t="s">
        <v>96</v>
      </c>
      <c r="BV18" s="1">
        <v>0.0046</v>
      </c>
      <c r="BW18" s="1" t="s">
        <v>96</v>
      </c>
      <c r="BX18" s="1">
        <v>0.0038</v>
      </c>
      <c r="BY18" s="1" t="s">
        <v>96</v>
      </c>
      <c r="BZ18" s="1">
        <v>0.0012</v>
      </c>
      <c r="CA18" s="1">
        <v>0.0338</v>
      </c>
      <c r="CB18" s="1">
        <v>0.0111</v>
      </c>
      <c r="CC18" s="1" t="s">
        <v>96</v>
      </c>
      <c r="CD18" s="1">
        <v>0.0025</v>
      </c>
      <c r="CE18" s="1"/>
      <c r="CF18" s="1"/>
      <c r="CG18" s="1" t="s">
        <v>96</v>
      </c>
      <c r="CH18" s="1">
        <v>2.0E-4</v>
      </c>
      <c r="CI18" s="1"/>
      <c r="CJ18" s="1"/>
      <c r="CK18" s="1">
        <v>0.0027</v>
      </c>
      <c r="CL18" s="1">
        <v>0.0022</v>
      </c>
      <c r="CM18" s="1">
        <v>0.0026</v>
      </c>
      <c r="CN18" s="1">
        <v>0.0019</v>
      </c>
      <c r="CO18" s="1">
        <v>0.0016</v>
      </c>
      <c r="CP18" s="1"/>
      <c r="CQ18" s="1"/>
      <c r="CR18" s="1"/>
      <c r="CS18" s="1"/>
      <c r="CT18" s="1"/>
      <c r="CU18" s="1"/>
      <c r="CV18" s="1"/>
      <c r="CW18" s="1"/>
      <c r="CX18" s="1"/>
      <c r="CY18" s="1"/>
    </row>
    <row r="19" ht="14.25" customHeight="1">
      <c r="A19" s="1" t="s">
        <v>125</v>
      </c>
      <c r="B19" s="1">
        <v>1139876.0</v>
      </c>
      <c r="C19" s="3">
        <v>355.362183</v>
      </c>
      <c r="D19" s="3">
        <v>731539.204557</v>
      </c>
      <c r="E19" s="3">
        <v>5991196.852427</v>
      </c>
      <c r="F19" s="4">
        <v>1.0</v>
      </c>
      <c r="G19" s="4">
        <v>2.0</v>
      </c>
      <c r="H19" s="8" t="s">
        <v>108</v>
      </c>
      <c r="I19" s="1"/>
      <c r="J19" s="1"/>
      <c r="K19" s="1"/>
      <c r="L19" s="1"/>
      <c r="M19" s="2"/>
      <c r="N19" s="2"/>
      <c r="O19" s="1"/>
      <c r="P19" s="1"/>
      <c r="Q19" s="1"/>
      <c r="R19" s="1">
        <v>8.1976</v>
      </c>
      <c r="S19" s="1">
        <v>0.2343</v>
      </c>
      <c r="T19" s="1">
        <v>22.3419</v>
      </c>
      <c r="U19" s="1">
        <v>0.2284</v>
      </c>
      <c r="V19" s="1" t="s">
        <v>96</v>
      </c>
      <c r="W19" s="1">
        <v>0.9931</v>
      </c>
      <c r="X19" s="1">
        <v>1.9426</v>
      </c>
      <c r="Y19" s="1">
        <v>0.6847</v>
      </c>
      <c r="Z19" s="1">
        <v>0.2226</v>
      </c>
      <c r="AA19" s="1">
        <v>0.0901</v>
      </c>
      <c r="AB19" s="1">
        <v>0.185</v>
      </c>
      <c r="AC19" s="1">
        <v>0.0541</v>
      </c>
      <c r="AD19" s="1"/>
      <c r="AE19" s="1"/>
      <c r="AF19" s="1" t="s">
        <v>96</v>
      </c>
      <c r="AG19" s="1">
        <v>0.0085</v>
      </c>
      <c r="AH19" s="1">
        <v>0.0131</v>
      </c>
      <c r="AI19" s="1">
        <v>0.0113</v>
      </c>
      <c r="AJ19" s="1">
        <v>2.1766</v>
      </c>
      <c r="AK19" s="1">
        <v>0.0605</v>
      </c>
      <c r="AL19" s="1" t="s">
        <v>96</v>
      </c>
      <c r="AM19" s="1">
        <v>0.0128</v>
      </c>
      <c r="AN19" s="1" t="s">
        <v>96</v>
      </c>
      <c r="AO19" s="1">
        <v>0.0027</v>
      </c>
      <c r="AP19" s="1">
        <v>0.0069</v>
      </c>
      <c r="AQ19" s="1">
        <v>0.0023</v>
      </c>
      <c r="AR19" s="1">
        <v>0.0048</v>
      </c>
      <c r="AS19" s="1">
        <v>0.0019</v>
      </c>
      <c r="AT19" s="1">
        <v>0.0042</v>
      </c>
      <c r="AU19" s="1">
        <v>0.0041</v>
      </c>
      <c r="AV19" s="1" t="s">
        <v>96</v>
      </c>
      <c r="AW19" s="1">
        <v>0.0054</v>
      </c>
      <c r="AX19" s="1" t="s">
        <v>96</v>
      </c>
      <c r="AY19" s="1">
        <v>5.0E-4</v>
      </c>
      <c r="AZ19" s="1">
        <v>0.0097</v>
      </c>
      <c r="BA19" s="1">
        <v>0.0012</v>
      </c>
      <c r="BB19" s="1">
        <v>0.0018</v>
      </c>
      <c r="BC19" s="1">
        <v>6.0E-4</v>
      </c>
      <c r="BD19" s="1">
        <v>0.0031</v>
      </c>
      <c r="BE19" s="1">
        <f t="shared" si="1"/>
        <v>31</v>
      </c>
      <c r="BF19" s="3">
        <f t="shared" si="2"/>
        <v>35.65</v>
      </c>
      <c r="BG19" s="1">
        <v>5.0E-4</v>
      </c>
      <c r="BH19" s="1"/>
      <c r="BI19" s="1">
        <v>0.0303</v>
      </c>
      <c r="BJ19" s="1">
        <v>0.0015</v>
      </c>
      <c r="BK19" s="1" t="s">
        <v>96</v>
      </c>
      <c r="BL19" s="1">
        <v>0.0044</v>
      </c>
      <c r="BM19" s="1"/>
      <c r="BN19" s="1"/>
      <c r="BO19" s="1" t="s">
        <v>96</v>
      </c>
      <c r="BP19" s="1">
        <v>0.0165</v>
      </c>
      <c r="BQ19" s="1" t="s">
        <v>96</v>
      </c>
      <c r="BR19" s="1">
        <v>0.0029</v>
      </c>
      <c r="BS19" s="1"/>
      <c r="BT19" s="1"/>
      <c r="BU19" s="1" t="s">
        <v>96</v>
      </c>
      <c r="BV19" s="1">
        <v>0.005</v>
      </c>
      <c r="BW19" s="1" t="s">
        <v>96</v>
      </c>
      <c r="BX19" s="1">
        <v>0.004</v>
      </c>
      <c r="BY19" s="1" t="s">
        <v>96</v>
      </c>
      <c r="BZ19" s="1">
        <v>0.0012</v>
      </c>
      <c r="CA19" s="1">
        <v>0.0338</v>
      </c>
      <c r="CB19" s="1">
        <v>0.0116</v>
      </c>
      <c r="CC19" s="1" t="s">
        <v>96</v>
      </c>
      <c r="CD19" s="1">
        <v>0.003</v>
      </c>
      <c r="CE19" s="1" t="s">
        <v>96</v>
      </c>
      <c r="CF19" s="1">
        <v>0.007</v>
      </c>
      <c r="CG19" s="1" t="s">
        <v>96</v>
      </c>
      <c r="CH19" s="1">
        <v>2.0E-4</v>
      </c>
      <c r="CI19" s="1"/>
      <c r="CJ19" s="1"/>
      <c r="CK19" s="1" t="s">
        <v>96</v>
      </c>
      <c r="CL19" s="1">
        <v>0.0023</v>
      </c>
      <c r="CM19" s="1" t="s">
        <v>96</v>
      </c>
      <c r="CN19" s="1">
        <v>0.002</v>
      </c>
      <c r="CO19" s="1">
        <v>0.0013</v>
      </c>
      <c r="CP19" s="1"/>
      <c r="CQ19" s="1"/>
      <c r="CR19" s="1"/>
      <c r="CS19" s="1"/>
      <c r="CT19" s="1"/>
      <c r="CU19" s="1"/>
      <c r="CV19" s="1"/>
      <c r="CW19" s="1"/>
      <c r="CX19" s="1"/>
      <c r="CY19" s="1"/>
    </row>
    <row r="20" ht="14.25" customHeight="1">
      <c r="A20" s="1" t="s">
        <v>126</v>
      </c>
      <c r="B20" s="1">
        <v>1139877.0</v>
      </c>
      <c r="C20" s="3">
        <v>361.950684</v>
      </c>
      <c r="D20" s="3">
        <v>731556.580683</v>
      </c>
      <c r="E20" s="3">
        <v>5991197.28482</v>
      </c>
      <c r="F20" s="4">
        <v>0.0</v>
      </c>
      <c r="G20" s="4">
        <v>1.0</v>
      </c>
      <c r="H20" s="8" t="s">
        <v>108</v>
      </c>
      <c r="I20" s="1"/>
      <c r="J20" s="1"/>
      <c r="K20" s="1"/>
      <c r="L20" s="1"/>
      <c r="M20" s="2"/>
      <c r="N20" s="1"/>
      <c r="O20" s="1" t="s">
        <v>123</v>
      </c>
      <c r="P20" s="1"/>
      <c r="Q20" s="1"/>
      <c r="R20" s="1">
        <v>7.9689</v>
      </c>
      <c r="S20" s="1">
        <v>0.1882</v>
      </c>
      <c r="T20" s="1">
        <v>16.5341</v>
      </c>
      <c r="U20" s="1">
        <v>0.1641</v>
      </c>
      <c r="V20" s="1" t="s">
        <v>96</v>
      </c>
      <c r="W20" s="1">
        <v>0.9276</v>
      </c>
      <c r="X20" s="1">
        <v>0.7738</v>
      </c>
      <c r="Y20" s="1">
        <v>0.5084</v>
      </c>
      <c r="Z20" s="1">
        <v>0.1188</v>
      </c>
      <c r="AA20" s="1">
        <v>0.0712</v>
      </c>
      <c r="AB20" s="1">
        <v>0.0889</v>
      </c>
      <c r="AC20" s="1">
        <v>0.0442</v>
      </c>
      <c r="AD20" s="1" t="s">
        <v>96</v>
      </c>
      <c r="AE20" s="1">
        <v>0.01</v>
      </c>
      <c r="AF20" s="1"/>
      <c r="AG20" s="1"/>
      <c r="AH20" s="1">
        <v>0.015</v>
      </c>
      <c r="AI20" s="1">
        <v>0.012</v>
      </c>
      <c r="AJ20" s="1">
        <v>2.2845</v>
      </c>
      <c r="AK20" s="1">
        <v>0.0664</v>
      </c>
      <c r="AL20" s="1" t="s">
        <v>96</v>
      </c>
      <c r="AM20" s="1">
        <v>0.0121</v>
      </c>
      <c r="AN20" s="1" t="s">
        <v>96</v>
      </c>
      <c r="AO20" s="1">
        <v>0.0027</v>
      </c>
      <c r="AP20" s="1">
        <v>0.0048</v>
      </c>
      <c r="AQ20" s="1">
        <v>0.0021</v>
      </c>
      <c r="AR20" s="1">
        <v>0.0061</v>
      </c>
      <c r="AS20" s="1">
        <v>0.0022</v>
      </c>
      <c r="AT20" s="1">
        <v>0.0047</v>
      </c>
      <c r="AU20" s="1">
        <v>0.004</v>
      </c>
      <c r="AV20" s="1" t="s">
        <v>96</v>
      </c>
      <c r="AW20" s="1">
        <v>0.0059</v>
      </c>
      <c r="AX20" s="1" t="s">
        <v>96</v>
      </c>
      <c r="AY20" s="1">
        <v>5.0E-4</v>
      </c>
      <c r="AZ20" s="1">
        <v>0.01</v>
      </c>
      <c r="BA20" s="1">
        <v>0.0013</v>
      </c>
      <c r="BB20" s="1">
        <v>0.0017</v>
      </c>
      <c r="BC20" s="1">
        <v>7.0E-4</v>
      </c>
      <c r="BD20" s="1">
        <v>0.0053</v>
      </c>
      <c r="BE20" s="1">
        <f t="shared" si="1"/>
        <v>53</v>
      </c>
      <c r="BF20" s="3">
        <f t="shared" si="2"/>
        <v>60.95</v>
      </c>
      <c r="BG20" s="1">
        <v>7.0E-4</v>
      </c>
      <c r="BH20" s="1"/>
      <c r="BI20" s="1">
        <v>0.0355</v>
      </c>
      <c r="BJ20" s="1">
        <v>0.0018</v>
      </c>
      <c r="BK20" s="1" t="s">
        <v>96</v>
      </c>
      <c r="BL20" s="1">
        <v>0.0041</v>
      </c>
      <c r="BM20" s="1"/>
      <c r="BN20" s="1"/>
      <c r="BO20" s="1" t="s">
        <v>96</v>
      </c>
      <c r="BP20" s="1">
        <v>0.0154</v>
      </c>
      <c r="BQ20" s="1" t="s">
        <v>96</v>
      </c>
      <c r="BR20" s="1">
        <v>0.0031</v>
      </c>
      <c r="BS20" s="1">
        <v>0.0075</v>
      </c>
      <c r="BT20" s="1">
        <v>0.004</v>
      </c>
      <c r="BU20" s="1" t="s">
        <v>96</v>
      </c>
      <c r="BV20" s="1">
        <v>0.0055</v>
      </c>
      <c r="BW20" s="1" t="s">
        <v>96</v>
      </c>
      <c r="BX20" s="1">
        <v>0.0045</v>
      </c>
      <c r="BY20" s="1" t="s">
        <v>96</v>
      </c>
      <c r="BZ20" s="1">
        <v>0.0014</v>
      </c>
      <c r="CA20" s="1">
        <v>0.0441</v>
      </c>
      <c r="CB20" s="1">
        <v>0.013</v>
      </c>
      <c r="CC20" s="1" t="s">
        <v>96</v>
      </c>
      <c r="CD20" s="1">
        <v>0.0038</v>
      </c>
      <c r="CE20" s="1" t="s">
        <v>96</v>
      </c>
      <c r="CF20" s="1">
        <v>0.0071</v>
      </c>
      <c r="CG20" s="1" t="s">
        <v>96</v>
      </c>
      <c r="CH20" s="1">
        <v>2.0E-4</v>
      </c>
      <c r="CI20" s="1"/>
      <c r="CJ20" s="1"/>
      <c r="CK20" s="1" t="s">
        <v>96</v>
      </c>
      <c r="CL20" s="1">
        <v>0.0024</v>
      </c>
      <c r="CM20" s="1">
        <v>0.0024</v>
      </c>
      <c r="CN20" s="1">
        <v>0.0022</v>
      </c>
      <c r="CO20" s="1">
        <v>0.0014</v>
      </c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ht="14.25" customHeight="1">
      <c r="A21" s="1" t="s">
        <v>127</v>
      </c>
      <c r="B21" s="1">
        <v>1139878.0</v>
      </c>
      <c r="C21" s="3">
        <v>438.740601</v>
      </c>
      <c r="D21" s="3">
        <v>729790.445876</v>
      </c>
      <c r="E21" s="3">
        <v>5990715.34113</v>
      </c>
      <c r="F21" s="4">
        <v>0.0</v>
      </c>
      <c r="G21" s="4">
        <v>1.0</v>
      </c>
      <c r="H21" s="1" t="s">
        <v>98</v>
      </c>
      <c r="I21" s="1"/>
      <c r="J21" s="1" t="s">
        <v>128</v>
      </c>
      <c r="K21" s="1" t="s">
        <v>129</v>
      </c>
      <c r="L21" s="1" t="s">
        <v>130</v>
      </c>
      <c r="M21" s="2"/>
      <c r="N21" s="2"/>
      <c r="O21" s="1"/>
      <c r="P21" s="1"/>
      <c r="Q21" s="1"/>
      <c r="R21" s="1">
        <v>2.1616</v>
      </c>
      <c r="S21" s="1">
        <v>0.0597</v>
      </c>
      <c r="T21" s="1">
        <v>5.487</v>
      </c>
      <c r="U21" s="1">
        <v>0.0483</v>
      </c>
      <c r="V21" s="1" t="s">
        <v>96</v>
      </c>
      <c r="W21" s="1">
        <v>0.675</v>
      </c>
      <c r="X21" s="1" t="s">
        <v>96</v>
      </c>
      <c r="Y21" s="1">
        <v>0.2405</v>
      </c>
      <c r="Z21" s="1">
        <v>0.2848</v>
      </c>
      <c r="AA21" s="1">
        <v>0.091</v>
      </c>
      <c r="AB21" s="1">
        <v>0.0724</v>
      </c>
      <c r="AC21" s="1">
        <v>0.0362</v>
      </c>
      <c r="AD21" s="1" t="s">
        <v>96</v>
      </c>
      <c r="AE21" s="1">
        <v>0.0074</v>
      </c>
      <c r="AF21" s="1"/>
      <c r="AG21" s="1"/>
      <c r="AH21" s="1">
        <v>0.059</v>
      </c>
      <c r="AI21" s="1">
        <v>0.017</v>
      </c>
      <c r="AJ21" s="1">
        <v>4.0291</v>
      </c>
      <c r="AK21" s="1">
        <v>0.1583</v>
      </c>
      <c r="AL21" s="1" t="s">
        <v>96</v>
      </c>
      <c r="AM21" s="1">
        <v>0.0088</v>
      </c>
      <c r="AN21" s="1" t="s">
        <v>96</v>
      </c>
      <c r="AO21" s="1">
        <v>0.0031</v>
      </c>
      <c r="AP21" s="1">
        <v>0.012</v>
      </c>
      <c r="AQ21" s="1">
        <v>0.0056</v>
      </c>
      <c r="AR21" s="1">
        <v>0.005</v>
      </c>
      <c r="AS21" s="1">
        <v>0.0038</v>
      </c>
      <c r="AT21" s="1" t="s">
        <v>96</v>
      </c>
      <c r="AU21" s="1">
        <v>0.0019</v>
      </c>
      <c r="AV21" s="1" t="s">
        <v>96</v>
      </c>
      <c r="AW21" s="1">
        <v>0.0126</v>
      </c>
      <c r="AX21" s="1" t="s">
        <v>96</v>
      </c>
      <c r="AY21" s="1">
        <v>0.0011</v>
      </c>
      <c r="AZ21" s="1">
        <v>0.0028</v>
      </c>
      <c r="BA21" s="1">
        <v>0.0016</v>
      </c>
      <c r="BB21" s="1">
        <v>0.0143</v>
      </c>
      <c r="BC21" s="1">
        <v>0.0025</v>
      </c>
      <c r="BD21" s="1">
        <v>0.0012</v>
      </c>
      <c r="BE21" s="1">
        <f t="shared" si="1"/>
        <v>12</v>
      </c>
      <c r="BF21" s="3">
        <f t="shared" si="2"/>
        <v>13.8</v>
      </c>
      <c r="BG21" s="1">
        <v>8.0E-4</v>
      </c>
      <c r="BH21" s="1"/>
      <c r="BI21" s="1">
        <v>0.0052</v>
      </c>
      <c r="BJ21" s="1">
        <v>0.0017</v>
      </c>
      <c r="BK21" s="1" t="s">
        <v>96</v>
      </c>
      <c r="BL21" s="1">
        <v>0.0029</v>
      </c>
      <c r="BM21" s="1" t="s">
        <v>96</v>
      </c>
      <c r="BN21" s="1">
        <v>0.0016</v>
      </c>
      <c r="BO21" s="1" t="s">
        <v>96</v>
      </c>
      <c r="BP21" s="1">
        <v>0.009</v>
      </c>
      <c r="BQ21" s="1" t="s">
        <v>96</v>
      </c>
      <c r="BR21" s="1">
        <v>0.0058</v>
      </c>
      <c r="BS21" s="1">
        <v>0.0505</v>
      </c>
      <c r="BT21" s="1">
        <v>0.008</v>
      </c>
      <c r="BU21" s="1"/>
      <c r="BV21" s="1"/>
      <c r="BW21" s="1" t="s">
        <v>96</v>
      </c>
      <c r="BX21" s="1">
        <v>0.0092</v>
      </c>
      <c r="BY21" s="1" t="s">
        <v>96</v>
      </c>
      <c r="BZ21" s="1">
        <v>0.003</v>
      </c>
      <c r="CA21" s="1" t="s">
        <v>96</v>
      </c>
      <c r="CB21" s="1">
        <v>0.0236</v>
      </c>
      <c r="CC21" s="1" t="s">
        <v>96</v>
      </c>
      <c r="CD21" s="1">
        <v>0.0072</v>
      </c>
      <c r="CE21" s="1" t="s">
        <v>96</v>
      </c>
      <c r="CF21" s="1">
        <v>0.0048</v>
      </c>
      <c r="CG21" s="1" t="s">
        <v>96</v>
      </c>
      <c r="CH21" s="1">
        <v>5.0E-4</v>
      </c>
      <c r="CI21" s="1"/>
      <c r="CJ21" s="1"/>
      <c r="CK21" s="1" t="s">
        <v>96</v>
      </c>
      <c r="CL21" s="1">
        <v>0.0048</v>
      </c>
      <c r="CM21" s="1" t="s">
        <v>96</v>
      </c>
      <c r="CN21" s="1">
        <v>0.004</v>
      </c>
      <c r="CO21" s="1" t="s">
        <v>96</v>
      </c>
      <c r="CP21" s="1"/>
      <c r="CQ21" s="1"/>
      <c r="CR21" s="1"/>
      <c r="CS21" s="1"/>
      <c r="CT21" s="1"/>
      <c r="CU21" s="1"/>
      <c r="CV21" s="1"/>
      <c r="CW21" s="1"/>
      <c r="CX21" s="1"/>
      <c r="CY21" s="1"/>
    </row>
    <row r="22" ht="14.25" customHeight="1">
      <c r="A22" s="1" t="s">
        <v>127</v>
      </c>
      <c r="B22" s="1">
        <v>1139879.0</v>
      </c>
      <c r="C22" s="3">
        <v>438.740601</v>
      </c>
      <c r="D22" s="3">
        <v>729790.445876</v>
      </c>
      <c r="E22" s="3">
        <v>5990715.34113</v>
      </c>
      <c r="F22" s="4">
        <v>1.0</v>
      </c>
      <c r="G22" s="4">
        <v>2.0</v>
      </c>
      <c r="H22" s="1" t="s">
        <v>106</v>
      </c>
      <c r="I22" s="1"/>
      <c r="J22" s="1"/>
      <c r="K22" s="1"/>
      <c r="L22" s="1"/>
      <c r="M22" s="2"/>
      <c r="N22" s="2"/>
      <c r="O22" s="1"/>
      <c r="P22" s="1"/>
      <c r="Q22" s="1"/>
      <c r="R22" s="1">
        <v>6.6834</v>
      </c>
      <c r="S22" s="1">
        <v>0.1147</v>
      </c>
      <c r="T22" s="1">
        <v>14.741</v>
      </c>
      <c r="U22" s="1">
        <v>0.0984</v>
      </c>
      <c r="V22" s="1" t="s">
        <v>96</v>
      </c>
      <c r="W22" s="1">
        <v>0.7824</v>
      </c>
      <c r="X22" s="1">
        <v>0.6778</v>
      </c>
      <c r="Y22" s="1">
        <v>0.3424</v>
      </c>
      <c r="Z22" s="1">
        <v>1.1049</v>
      </c>
      <c r="AA22" s="1">
        <v>0.1263</v>
      </c>
      <c r="AB22" s="1">
        <v>0.5728</v>
      </c>
      <c r="AC22" s="1">
        <v>0.0604</v>
      </c>
      <c r="AD22" s="1">
        <v>0.0206</v>
      </c>
      <c r="AE22" s="1">
        <v>0.0111</v>
      </c>
      <c r="AF22" s="1">
        <v>0.0132</v>
      </c>
      <c r="AG22" s="1">
        <v>0.009</v>
      </c>
      <c r="AH22" s="1">
        <v>0.2262</v>
      </c>
      <c r="AI22" s="1">
        <v>0.0215</v>
      </c>
      <c r="AJ22" s="1">
        <v>3.5003</v>
      </c>
      <c r="AK22" s="1">
        <v>0.0538</v>
      </c>
      <c r="AL22" s="1" t="s">
        <v>96</v>
      </c>
      <c r="AM22" s="1">
        <v>0.0127</v>
      </c>
      <c r="AN22" s="1" t="s">
        <v>96</v>
      </c>
      <c r="AO22" s="1">
        <v>0.0037</v>
      </c>
      <c r="AP22" s="1">
        <v>0.012</v>
      </c>
      <c r="AQ22" s="1">
        <v>0.0015</v>
      </c>
      <c r="AR22" s="1">
        <v>0.0042</v>
      </c>
      <c r="AS22" s="1">
        <v>0.0012</v>
      </c>
      <c r="AT22" s="1">
        <v>0.0032</v>
      </c>
      <c r="AU22" s="1">
        <v>0.0028</v>
      </c>
      <c r="AV22" s="1" t="s">
        <v>96</v>
      </c>
      <c r="AW22" s="1">
        <v>0.0041</v>
      </c>
      <c r="AX22" s="1" t="s">
        <v>96</v>
      </c>
      <c r="AY22" s="1">
        <v>3.0E-4</v>
      </c>
      <c r="AZ22" s="1">
        <v>0.0033</v>
      </c>
      <c r="BA22" s="1">
        <v>6.0E-4</v>
      </c>
      <c r="BB22" s="1">
        <v>0.0167</v>
      </c>
      <c r="BC22" s="1">
        <v>0.0011</v>
      </c>
      <c r="BD22" s="1">
        <v>0.0018</v>
      </c>
      <c r="BE22" s="1">
        <f t="shared" si="1"/>
        <v>18</v>
      </c>
      <c r="BF22" s="3">
        <f t="shared" si="2"/>
        <v>20.7</v>
      </c>
      <c r="BG22" s="1">
        <v>3.0E-4</v>
      </c>
      <c r="BH22" s="1"/>
      <c r="BI22" s="1">
        <v>0.0071</v>
      </c>
      <c r="BJ22" s="1">
        <v>7.0E-4</v>
      </c>
      <c r="BK22" s="1">
        <v>0.0045</v>
      </c>
      <c r="BL22" s="1">
        <v>0.0035</v>
      </c>
      <c r="BM22" s="1" t="s">
        <v>96</v>
      </c>
      <c r="BN22" s="1">
        <v>0.0021</v>
      </c>
      <c r="BO22" s="1" t="s">
        <v>96</v>
      </c>
      <c r="BP22" s="1">
        <v>0.013</v>
      </c>
      <c r="BQ22" s="1" t="s">
        <v>96</v>
      </c>
      <c r="BR22" s="1">
        <v>0.0022</v>
      </c>
      <c r="BS22" s="1">
        <v>0.0079</v>
      </c>
      <c r="BT22" s="1">
        <v>0.0027</v>
      </c>
      <c r="BU22" s="1" t="s">
        <v>96</v>
      </c>
      <c r="BV22" s="1">
        <v>0.0038</v>
      </c>
      <c r="BW22" s="1" t="s">
        <v>96</v>
      </c>
      <c r="BX22" s="1">
        <v>0.003</v>
      </c>
      <c r="BY22" s="1" t="s">
        <v>96</v>
      </c>
      <c r="BZ22" s="1">
        <v>9.0E-4</v>
      </c>
      <c r="CA22" s="1" t="s">
        <v>96</v>
      </c>
      <c r="CB22" s="1">
        <v>0.0087</v>
      </c>
      <c r="CC22" s="1" t="s">
        <v>96</v>
      </c>
      <c r="CD22" s="1">
        <v>0.0021</v>
      </c>
      <c r="CE22" s="1"/>
      <c r="CF22" s="1"/>
      <c r="CG22" s="1" t="s">
        <v>96</v>
      </c>
      <c r="CH22" s="1">
        <v>1.0E-4</v>
      </c>
      <c r="CI22" s="1"/>
      <c r="CJ22" s="1"/>
      <c r="CK22" s="1" t="s">
        <v>96</v>
      </c>
      <c r="CL22" s="1">
        <v>0.0016</v>
      </c>
      <c r="CM22" s="1" t="s">
        <v>96</v>
      </c>
      <c r="CN22" s="1">
        <v>0.0013</v>
      </c>
      <c r="CO22" s="1" t="s">
        <v>96</v>
      </c>
      <c r="CP22" s="1"/>
      <c r="CQ22" s="1"/>
      <c r="CR22" s="1"/>
      <c r="CS22" s="1"/>
      <c r="CT22" s="1"/>
      <c r="CU22" s="1"/>
      <c r="CV22" s="1"/>
      <c r="CW22" s="1"/>
      <c r="CX22" s="1"/>
      <c r="CY22" s="1"/>
    </row>
    <row r="23" ht="14.25" customHeight="1">
      <c r="A23" s="1" t="s">
        <v>127</v>
      </c>
      <c r="B23" s="1">
        <v>1139880.0</v>
      </c>
      <c r="C23" s="3">
        <v>438.740601</v>
      </c>
      <c r="D23" s="3">
        <v>729790.445876</v>
      </c>
      <c r="E23" s="3">
        <v>5990715.34113</v>
      </c>
      <c r="F23" s="4">
        <v>2.0</v>
      </c>
      <c r="G23" s="4">
        <v>3.0</v>
      </c>
      <c r="H23" s="1" t="s">
        <v>106</v>
      </c>
      <c r="I23" s="1"/>
      <c r="J23" s="1"/>
      <c r="K23" s="1"/>
      <c r="L23" s="1"/>
      <c r="M23" s="2"/>
      <c r="N23" s="2"/>
      <c r="O23" s="1"/>
      <c r="P23" s="1"/>
      <c r="Q23" s="1"/>
      <c r="R23" s="1">
        <v>7.2893</v>
      </c>
      <c r="S23" s="1">
        <v>0.1308</v>
      </c>
      <c r="T23" s="1">
        <v>15.6862</v>
      </c>
      <c r="U23" s="1">
        <v>0.111</v>
      </c>
      <c r="V23" s="1" t="s">
        <v>96</v>
      </c>
      <c r="W23" s="1">
        <v>0.8152</v>
      </c>
      <c r="X23" s="1">
        <v>0.8977</v>
      </c>
      <c r="Y23" s="1">
        <v>0.364</v>
      </c>
      <c r="Z23" s="1">
        <v>0.7104</v>
      </c>
      <c r="AA23" s="1">
        <v>0.1052</v>
      </c>
      <c r="AB23" s="1">
        <v>0.736</v>
      </c>
      <c r="AC23" s="1">
        <v>0.0678</v>
      </c>
      <c r="AD23" s="1">
        <v>0.0235</v>
      </c>
      <c r="AE23" s="1">
        <v>0.0121</v>
      </c>
      <c r="AF23" s="1">
        <v>0.022</v>
      </c>
      <c r="AG23" s="1">
        <v>0.0102</v>
      </c>
      <c r="AH23" s="1">
        <v>0.1457</v>
      </c>
      <c r="AI23" s="1">
        <v>0.0181</v>
      </c>
      <c r="AJ23" s="1">
        <v>4.337</v>
      </c>
      <c r="AK23" s="1">
        <v>0.0601</v>
      </c>
      <c r="AL23" s="1" t="s">
        <v>96</v>
      </c>
      <c r="AM23" s="1">
        <v>0.014</v>
      </c>
      <c r="AN23" s="1" t="s">
        <v>96</v>
      </c>
      <c r="AO23" s="1">
        <v>0.0038</v>
      </c>
      <c r="AP23" s="1">
        <v>0.0135</v>
      </c>
      <c r="AQ23" s="1">
        <v>0.0016</v>
      </c>
      <c r="AR23" s="1">
        <v>0.0046</v>
      </c>
      <c r="AS23" s="1">
        <v>0.0012</v>
      </c>
      <c r="AT23" s="1">
        <v>0.0035</v>
      </c>
      <c r="AU23" s="1">
        <v>0.0029</v>
      </c>
      <c r="AV23" s="1" t="s">
        <v>96</v>
      </c>
      <c r="AW23" s="1">
        <v>0.0042</v>
      </c>
      <c r="AX23" s="1" t="s">
        <v>96</v>
      </c>
      <c r="AY23" s="1">
        <v>4.0E-4</v>
      </c>
      <c r="AZ23" s="1">
        <v>0.0039</v>
      </c>
      <c r="BA23" s="1">
        <v>6.0E-4</v>
      </c>
      <c r="BB23" s="1">
        <v>0.0106</v>
      </c>
      <c r="BC23" s="1">
        <v>9.0E-4</v>
      </c>
      <c r="BD23" s="1">
        <v>0.0017</v>
      </c>
      <c r="BE23" s="1">
        <f t="shared" si="1"/>
        <v>17</v>
      </c>
      <c r="BF23" s="3">
        <f t="shared" si="2"/>
        <v>19.55</v>
      </c>
      <c r="BG23" s="1">
        <v>3.0E-4</v>
      </c>
      <c r="BH23" s="1"/>
      <c r="BI23" s="1">
        <v>0.0087</v>
      </c>
      <c r="BJ23" s="1">
        <v>7.0E-4</v>
      </c>
      <c r="BK23" s="1" t="s">
        <v>96</v>
      </c>
      <c r="BL23" s="1">
        <v>0.0035</v>
      </c>
      <c r="BM23" s="1" t="s">
        <v>96</v>
      </c>
      <c r="BN23" s="1">
        <v>0.0022</v>
      </c>
      <c r="BO23" s="1" t="s">
        <v>96</v>
      </c>
      <c r="BP23" s="1">
        <v>0.013</v>
      </c>
      <c r="BQ23" s="1" t="s">
        <v>96</v>
      </c>
      <c r="BR23" s="1">
        <v>0.0022</v>
      </c>
      <c r="BS23" s="1">
        <v>0.0086</v>
      </c>
      <c r="BT23" s="1">
        <v>0.0028</v>
      </c>
      <c r="BU23" s="1" t="s">
        <v>96</v>
      </c>
      <c r="BV23" s="1">
        <v>0.0039</v>
      </c>
      <c r="BW23" s="1" t="s">
        <v>96</v>
      </c>
      <c r="BX23" s="1">
        <v>0.0031</v>
      </c>
      <c r="BY23" s="1" t="s">
        <v>96</v>
      </c>
      <c r="BZ23" s="1">
        <v>0.001</v>
      </c>
      <c r="CA23" s="1" t="s">
        <v>96</v>
      </c>
      <c r="CB23" s="1">
        <v>0.0089</v>
      </c>
      <c r="CC23" s="1" t="s">
        <v>96</v>
      </c>
      <c r="CD23" s="1">
        <v>0.002</v>
      </c>
      <c r="CE23" s="1" t="s">
        <v>96</v>
      </c>
      <c r="CF23" s="1">
        <v>0.0062</v>
      </c>
      <c r="CG23" s="1" t="s">
        <v>96</v>
      </c>
      <c r="CH23" s="1">
        <v>2.0E-4</v>
      </c>
      <c r="CI23" s="1"/>
      <c r="CJ23" s="1"/>
      <c r="CK23" s="1" t="s">
        <v>96</v>
      </c>
      <c r="CL23" s="1">
        <v>0.0015</v>
      </c>
      <c r="CM23" s="1" t="s">
        <v>96</v>
      </c>
      <c r="CN23" s="1">
        <v>0.0014</v>
      </c>
      <c r="CO23" s="1" t="s">
        <v>96</v>
      </c>
      <c r="CP23" s="1"/>
      <c r="CQ23" s="1"/>
      <c r="CR23" s="1"/>
      <c r="CS23" s="1"/>
      <c r="CT23" s="1"/>
      <c r="CU23" s="1"/>
      <c r="CV23" s="1"/>
      <c r="CW23" s="1"/>
      <c r="CX23" s="1"/>
      <c r="CY23" s="1"/>
    </row>
    <row r="24" ht="14.25" customHeight="1">
      <c r="A24" s="1" t="s">
        <v>131</v>
      </c>
      <c r="B24" s="1">
        <v>1139881.0</v>
      </c>
      <c r="C24" s="3">
        <v>432.45871</v>
      </c>
      <c r="D24" s="3">
        <v>729828.182122</v>
      </c>
      <c r="E24" s="3">
        <v>5990733.667896</v>
      </c>
      <c r="F24" s="4">
        <v>0.0</v>
      </c>
      <c r="G24" s="4">
        <v>1.0</v>
      </c>
      <c r="H24" s="1" t="s">
        <v>98</v>
      </c>
      <c r="I24" s="1"/>
      <c r="J24" s="1"/>
      <c r="K24" s="1"/>
      <c r="L24" s="1"/>
      <c r="M24" s="2"/>
      <c r="N24" s="2"/>
      <c r="O24" s="1"/>
      <c r="P24" s="1"/>
      <c r="Q24" s="1"/>
      <c r="R24" s="1">
        <v>5.6203</v>
      </c>
      <c r="S24" s="1">
        <v>0.1144</v>
      </c>
      <c r="T24" s="1">
        <v>15.0075</v>
      </c>
      <c r="U24" s="1">
        <v>0.103</v>
      </c>
      <c r="V24" s="1" t="s">
        <v>96</v>
      </c>
      <c r="W24" s="1">
        <v>0.7094</v>
      </c>
      <c r="X24" s="1">
        <v>0.671</v>
      </c>
      <c r="Y24" s="1">
        <v>0.352</v>
      </c>
      <c r="Z24" s="1">
        <v>1.8119</v>
      </c>
      <c r="AA24" s="1">
        <v>0.1578</v>
      </c>
      <c r="AB24" s="1">
        <v>0.4676</v>
      </c>
      <c r="AC24" s="1">
        <v>0.0559</v>
      </c>
      <c r="AD24" s="1">
        <v>0.0139</v>
      </c>
      <c r="AE24" s="1">
        <v>0.0101</v>
      </c>
      <c r="AF24" s="1">
        <v>0.0163</v>
      </c>
      <c r="AG24" s="1">
        <v>0.0091</v>
      </c>
      <c r="AH24" s="1">
        <v>0.1515</v>
      </c>
      <c r="AI24" s="1">
        <v>0.0182</v>
      </c>
      <c r="AJ24" s="1">
        <v>4.7389</v>
      </c>
      <c r="AK24" s="1">
        <v>0.0708</v>
      </c>
      <c r="AL24" s="1" t="s">
        <v>96</v>
      </c>
      <c r="AM24" s="1">
        <v>0.0125</v>
      </c>
      <c r="AN24" s="1" t="s">
        <v>96</v>
      </c>
      <c r="AO24" s="1">
        <v>0.0033</v>
      </c>
      <c r="AP24" s="1">
        <v>0.0135</v>
      </c>
      <c r="AQ24" s="1">
        <v>0.0019</v>
      </c>
      <c r="AR24" s="1">
        <v>0.0052</v>
      </c>
      <c r="AS24" s="1">
        <v>0.0015</v>
      </c>
      <c r="AT24" s="1">
        <v>0.0035</v>
      </c>
      <c r="AU24" s="1">
        <v>0.0026</v>
      </c>
      <c r="AV24" s="1" t="s">
        <v>96</v>
      </c>
      <c r="AW24" s="1">
        <v>0.0046</v>
      </c>
      <c r="AX24" s="1" t="s">
        <v>96</v>
      </c>
      <c r="AY24" s="1">
        <v>4.0E-4</v>
      </c>
      <c r="AZ24" s="1">
        <v>0.006</v>
      </c>
      <c r="BA24" s="1">
        <v>9.0E-4</v>
      </c>
      <c r="BB24" s="1">
        <v>0.0332</v>
      </c>
      <c r="BC24" s="1">
        <v>0.0016</v>
      </c>
      <c r="BD24" s="1">
        <v>0.0026</v>
      </c>
      <c r="BE24" s="1">
        <f t="shared" si="1"/>
        <v>26</v>
      </c>
      <c r="BF24" s="3">
        <f t="shared" si="2"/>
        <v>29.9</v>
      </c>
      <c r="BG24" s="1">
        <v>4.0E-4</v>
      </c>
      <c r="BH24" s="1"/>
      <c r="BI24" s="1">
        <v>0.0067</v>
      </c>
      <c r="BJ24" s="1">
        <v>9.0E-4</v>
      </c>
      <c r="BK24" s="1" t="s">
        <v>96</v>
      </c>
      <c r="BL24" s="1">
        <v>0.0031</v>
      </c>
      <c r="BM24" s="1"/>
      <c r="BN24" s="1"/>
      <c r="BO24" s="1" t="s">
        <v>96</v>
      </c>
      <c r="BP24" s="1">
        <v>0.0108</v>
      </c>
      <c r="BQ24" s="1" t="s">
        <v>96</v>
      </c>
      <c r="BR24" s="1">
        <v>0.0024</v>
      </c>
      <c r="BS24" s="1">
        <v>0.008</v>
      </c>
      <c r="BT24" s="1">
        <v>0.003</v>
      </c>
      <c r="BU24" s="1" t="s">
        <v>96</v>
      </c>
      <c r="BV24" s="1">
        <v>0.0042</v>
      </c>
      <c r="BW24" s="1" t="s">
        <v>96</v>
      </c>
      <c r="BX24" s="1">
        <v>0.0033</v>
      </c>
      <c r="BY24" s="1" t="s">
        <v>96</v>
      </c>
      <c r="BZ24" s="1">
        <v>0.0011</v>
      </c>
      <c r="CA24" s="1">
        <v>0.0153</v>
      </c>
      <c r="CB24" s="1">
        <v>0.0101</v>
      </c>
      <c r="CC24" s="1" t="s">
        <v>96</v>
      </c>
      <c r="CD24" s="1">
        <v>0.0024</v>
      </c>
      <c r="CE24" s="1" t="s">
        <v>96</v>
      </c>
      <c r="CF24" s="1">
        <v>0.0051</v>
      </c>
      <c r="CG24" s="1" t="s">
        <v>96</v>
      </c>
      <c r="CH24" s="1">
        <v>2.0E-4</v>
      </c>
      <c r="CI24" s="1"/>
      <c r="CJ24" s="1"/>
      <c r="CK24" s="1" t="s">
        <v>96</v>
      </c>
      <c r="CL24" s="1">
        <v>0.0018</v>
      </c>
      <c r="CM24" s="1" t="s">
        <v>96</v>
      </c>
      <c r="CN24" s="1">
        <v>0.0015</v>
      </c>
      <c r="CO24" s="1">
        <v>0.001</v>
      </c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ht="14.25" customHeight="1">
      <c r="A25" s="1" t="s">
        <v>131</v>
      </c>
      <c r="B25" s="1">
        <v>1139882.0</v>
      </c>
      <c r="C25" s="3">
        <v>432.45871</v>
      </c>
      <c r="D25" s="3">
        <v>729828.182122</v>
      </c>
      <c r="E25" s="3">
        <v>5990733.667896</v>
      </c>
      <c r="F25" s="4">
        <v>1.0</v>
      </c>
      <c r="G25" s="4">
        <v>2.0</v>
      </c>
      <c r="H25" s="1" t="s">
        <v>132</v>
      </c>
      <c r="I25" s="1"/>
      <c r="J25" s="1"/>
      <c r="K25" s="1"/>
      <c r="L25" s="1"/>
      <c r="M25" s="2"/>
      <c r="N25" s="2"/>
      <c r="O25" s="1"/>
      <c r="P25" s="1"/>
      <c r="Q25" s="1"/>
      <c r="R25" s="1">
        <v>6.4586</v>
      </c>
      <c r="S25" s="1">
        <v>0.1267</v>
      </c>
      <c r="T25" s="1">
        <v>16.5717</v>
      </c>
      <c r="U25" s="1">
        <v>0.1142</v>
      </c>
      <c r="V25" s="1" t="s">
        <v>96</v>
      </c>
      <c r="W25" s="1">
        <v>0.6429</v>
      </c>
      <c r="X25" s="1">
        <v>0.4599</v>
      </c>
      <c r="Y25" s="1">
        <v>0.2755</v>
      </c>
      <c r="Z25" s="1">
        <v>0.521</v>
      </c>
      <c r="AA25" s="1">
        <v>0.0883</v>
      </c>
      <c r="AB25" s="1">
        <v>0.4972</v>
      </c>
      <c r="AC25" s="1">
        <v>0.0554</v>
      </c>
      <c r="AD25" s="1">
        <v>0.0161</v>
      </c>
      <c r="AE25" s="1">
        <v>0.0102</v>
      </c>
      <c r="AF25" s="1">
        <v>0.0108</v>
      </c>
      <c r="AG25" s="1">
        <v>0.0081</v>
      </c>
      <c r="AH25" s="1">
        <v>0.0283</v>
      </c>
      <c r="AI25" s="1">
        <v>0.0104</v>
      </c>
      <c r="AJ25" s="1">
        <v>5.0715</v>
      </c>
      <c r="AK25" s="1">
        <v>0.0776</v>
      </c>
      <c r="AL25" s="1" t="s">
        <v>96</v>
      </c>
      <c r="AM25" s="1">
        <v>0.0119</v>
      </c>
      <c r="AN25" s="1" t="s">
        <v>96</v>
      </c>
      <c r="AO25" s="1">
        <v>0.003</v>
      </c>
      <c r="AP25" s="1">
        <v>0.0127</v>
      </c>
      <c r="AQ25" s="1">
        <v>0.002</v>
      </c>
      <c r="AR25" s="1">
        <v>0.0047</v>
      </c>
      <c r="AS25" s="1">
        <v>0.0016</v>
      </c>
      <c r="AT25" s="1">
        <v>0.0034</v>
      </c>
      <c r="AU25" s="1">
        <v>0.0025</v>
      </c>
      <c r="AV25" s="1" t="s">
        <v>96</v>
      </c>
      <c r="AW25" s="1">
        <v>0.0043</v>
      </c>
      <c r="AX25" s="1" t="s">
        <v>96</v>
      </c>
      <c r="AY25" s="1">
        <v>4.0E-4</v>
      </c>
      <c r="AZ25" s="1">
        <v>0.0031</v>
      </c>
      <c r="BA25" s="1">
        <v>7.0E-4</v>
      </c>
      <c r="BB25" s="1">
        <v>0.015</v>
      </c>
      <c r="BC25" s="1">
        <v>0.0012</v>
      </c>
      <c r="BD25" s="1">
        <v>0.0015</v>
      </c>
      <c r="BE25" s="1">
        <f t="shared" si="1"/>
        <v>15</v>
      </c>
      <c r="BF25" s="3">
        <f t="shared" si="2"/>
        <v>17.25</v>
      </c>
      <c r="BG25" s="1">
        <v>3.0E-4</v>
      </c>
      <c r="BH25" s="1"/>
      <c r="BI25" s="1">
        <v>0.0075</v>
      </c>
      <c r="BJ25" s="1">
        <v>8.0E-4</v>
      </c>
      <c r="BK25" s="1" t="s">
        <v>96</v>
      </c>
      <c r="BL25" s="1">
        <v>0.0028</v>
      </c>
      <c r="BM25" s="1"/>
      <c r="BN25" s="1"/>
      <c r="BO25" s="1" t="s">
        <v>96</v>
      </c>
      <c r="BP25" s="1">
        <v>0.0099</v>
      </c>
      <c r="BQ25" s="1" t="s">
        <v>96</v>
      </c>
      <c r="BR25" s="1">
        <v>0.0024</v>
      </c>
      <c r="BS25" s="1" t="s">
        <v>96</v>
      </c>
      <c r="BT25" s="1">
        <v>0.0029</v>
      </c>
      <c r="BU25" s="1" t="s">
        <v>96</v>
      </c>
      <c r="BV25" s="1">
        <v>0.0041</v>
      </c>
      <c r="BW25" s="1" t="s">
        <v>96</v>
      </c>
      <c r="BX25" s="1">
        <v>0.0031</v>
      </c>
      <c r="BY25" s="1" t="s">
        <v>96</v>
      </c>
      <c r="BZ25" s="1">
        <v>0.001</v>
      </c>
      <c r="CA25" s="1" t="s">
        <v>96</v>
      </c>
      <c r="CB25" s="1">
        <v>0.0094</v>
      </c>
      <c r="CC25" s="1" t="s">
        <v>96</v>
      </c>
      <c r="CD25" s="1">
        <v>0.0026</v>
      </c>
      <c r="CE25" s="1"/>
      <c r="CF25" s="1"/>
      <c r="CG25" s="1" t="s">
        <v>96</v>
      </c>
      <c r="CH25" s="1">
        <v>2.0E-4</v>
      </c>
      <c r="CI25" s="1"/>
      <c r="CJ25" s="1"/>
      <c r="CK25" s="1" t="s">
        <v>96</v>
      </c>
      <c r="CL25" s="1">
        <v>0.0017</v>
      </c>
      <c r="CM25" s="1" t="s">
        <v>96</v>
      </c>
      <c r="CN25" s="1">
        <v>0.0015</v>
      </c>
      <c r="CO25" s="1" t="s">
        <v>96</v>
      </c>
      <c r="CP25" s="1"/>
      <c r="CQ25" s="1"/>
      <c r="CR25" s="1"/>
      <c r="CS25" s="1"/>
      <c r="CT25" s="1"/>
      <c r="CU25" s="1"/>
      <c r="CV25" s="1"/>
      <c r="CW25" s="1"/>
      <c r="CX25" s="1"/>
      <c r="CY25" s="1"/>
    </row>
    <row r="26" ht="14.25" customHeight="1">
      <c r="A26" s="1" t="s">
        <v>133</v>
      </c>
      <c r="B26" s="1">
        <v>1139883.0</v>
      </c>
      <c r="C26" s="3">
        <v>346.59668</v>
      </c>
      <c r="D26" s="3">
        <v>729745.158788</v>
      </c>
      <c r="E26" s="3">
        <v>5991292.012781</v>
      </c>
      <c r="F26" s="4">
        <v>0.0</v>
      </c>
      <c r="G26" s="4">
        <v>1.0</v>
      </c>
      <c r="H26" s="1" t="s">
        <v>108</v>
      </c>
      <c r="I26" s="1" t="s">
        <v>134</v>
      </c>
      <c r="J26" s="1"/>
      <c r="K26" s="1"/>
      <c r="L26" s="1"/>
      <c r="M26" s="2"/>
      <c r="N26" s="2" t="s">
        <v>135</v>
      </c>
      <c r="O26" s="1" t="s">
        <v>123</v>
      </c>
      <c r="P26" s="1"/>
      <c r="Q26" s="1"/>
      <c r="R26" s="1">
        <v>6.5674</v>
      </c>
      <c r="S26" s="1">
        <v>0.1111</v>
      </c>
      <c r="T26" s="1">
        <v>18.2712</v>
      </c>
      <c r="U26" s="1">
        <v>0.1083</v>
      </c>
      <c r="V26" s="1" t="s">
        <v>96</v>
      </c>
      <c r="W26" s="1">
        <v>0.7689</v>
      </c>
      <c r="X26" s="1">
        <v>1.3365</v>
      </c>
      <c r="Y26" s="1">
        <v>0.4409</v>
      </c>
      <c r="Z26" s="1">
        <v>0.2532</v>
      </c>
      <c r="AA26" s="1">
        <v>0.0668</v>
      </c>
      <c r="AB26" s="1">
        <v>0.2468</v>
      </c>
      <c r="AC26" s="1">
        <v>0.0419</v>
      </c>
      <c r="AD26" s="1"/>
      <c r="AE26" s="1"/>
      <c r="AF26" s="1"/>
      <c r="AG26" s="1"/>
      <c r="AH26" s="1">
        <v>0.0142</v>
      </c>
      <c r="AI26" s="1">
        <v>0.0085</v>
      </c>
      <c r="AJ26" s="1">
        <v>2.0415</v>
      </c>
      <c r="AK26" s="1">
        <v>0.0388</v>
      </c>
      <c r="AL26" s="1" t="s">
        <v>96</v>
      </c>
      <c r="AM26" s="1">
        <v>0.0096</v>
      </c>
      <c r="AN26" s="1" t="s">
        <v>96</v>
      </c>
      <c r="AO26" s="1">
        <v>0.0023</v>
      </c>
      <c r="AP26" s="1">
        <v>0.0049</v>
      </c>
      <c r="AQ26" s="1">
        <v>0.0012</v>
      </c>
      <c r="AR26" s="1">
        <v>0.0041</v>
      </c>
      <c r="AS26" s="1">
        <v>0.0012</v>
      </c>
      <c r="AT26" s="1">
        <v>0.0074</v>
      </c>
      <c r="AU26" s="1">
        <v>0.0034</v>
      </c>
      <c r="AV26" s="1" t="s">
        <v>96</v>
      </c>
      <c r="AW26" s="1">
        <v>0.004</v>
      </c>
      <c r="AX26" s="1" t="s">
        <v>96</v>
      </c>
      <c r="AY26" s="1">
        <v>3.0E-4</v>
      </c>
      <c r="AZ26" s="1">
        <v>0.0076</v>
      </c>
      <c r="BA26" s="1">
        <v>8.0E-4</v>
      </c>
      <c r="BB26" s="1">
        <v>0.0066</v>
      </c>
      <c r="BC26" s="1">
        <v>7.0E-4</v>
      </c>
      <c r="BD26" s="1">
        <v>0.007</v>
      </c>
      <c r="BE26" s="1">
        <f t="shared" si="1"/>
        <v>70</v>
      </c>
      <c r="BF26" s="3">
        <f t="shared" si="2"/>
        <v>80.5</v>
      </c>
      <c r="BG26" s="1">
        <v>5.0E-4</v>
      </c>
      <c r="BH26" s="1"/>
      <c r="BI26" s="1">
        <v>0.0617</v>
      </c>
      <c r="BJ26" s="1">
        <v>0.0015</v>
      </c>
      <c r="BK26" s="1" t="s">
        <v>96</v>
      </c>
      <c r="BL26" s="1">
        <v>0.0037</v>
      </c>
      <c r="BM26" s="1"/>
      <c r="BN26" s="1"/>
      <c r="BO26" s="1" t="s">
        <v>96</v>
      </c>
      <c r="BP26" s="1">
        <v>0.014</v>
      </c>
      <c r="BQ26" s="1" t="s">
        <v>96</v>
      </c>
      <c r="BR26" s="1">
        <v>0.0021</v>
      </c>
      <c r="BS26" s="1"/>
      <c r="BT26" s="1"/>
      <c r="BU26" s="1" t="s">
        <v>96</v>
      </c>
      <c r="BV26" s="1">
        <v>0.0037</v>
      </c>
      <c r="BW26" s="1" t="s">
        <v>96</v>
      </c>
      <c r="BX26" s="1">
        <v>0.003</v>
      </c>
      <c r="BY26" s="1" t="s">
        <v>96</v>
      </c>
      <c r="BZ26" s="1">
        <v>9.0E-4</v>
      </c>
      <c r="CA26" s="1">
        <v>0.0168</v>
      </c>
      <c r="CB26" s="1">
        <v>0.0083</v>
      </c>
      <c r="CC26" s="1" t="s">
        <v>96</v>
      </c>
      <c r="CD26" s="1">
        <v>0.0021</v>
      </c>
      <c r="CE26" s="1" t="s">
        <v>96</v>
      </c>
      <c r="CF26" s="1">
        <v>0.0059</v>
      </c>
      <c r="CG26" s="1" t="s">
        <v>96</v>
      </c>
      <c r="CH26" s="1">
        <v>1.0E-4</v>
      </c>
      <c r="CI26" s="1"/>
      <c r="CJ26" s="1"/>
      <c r="CK26" s="1">
        <v>0.0022</v>
      </c>
      <c r="CL26" s="1">
        <v>0.0016</v>
      </c>
      <c r="CM26" s="1">
        <v>0.0021</v>
      </c>
      <c r="CN26" s="1">
        <v>0.0015</v>
      </c>
      <c r="CO26" s="1">
        <v>0.001</v>
      </c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ht="14.25" customHeight="1">
      <c r="A27" s="1" t="s">
        <v>136</v>
      </c>
      <c r="B27" s="1">
        <v>1139884.0</v>
      </c>
      <c r="C27" s="3">
        <v>323.576904</v>
      </c>
      <c r="D27" s="3">
        <v>732702.080837</v>
      </c>
      <c r="E27" s="3">
        <v>5991640.824105</v>
      </c>
      <c r="F27" s="4">
        <v>0.0</v>
      </c>
      <c r="G27" s="4">
        <v>0.75</v>
      </c>
      <c r="H27" s="8" t="s">
        <v>108</v>
      </c>
      <c r="I27" s="1"/>
      <c r="J27" s="1"/>
      <c r="K27" s="1"/>
      <c r="L27" s="1"/>
      <c r="M27" s="2"/>
      <c r="N27" s="2"/>
      <c r="O27" s="1"/>
      <c r="P27" s="1"/>
      <c r="Q27" s="1"/>
      <c r="R27" s="1">
        <v>6.9375</v>
      </c>
      <c r="S27" s="1">
        <v>0.1259</v>
      </c>
      <c r="T27" s="1">
        <v>19.4997</v>
      </c>
      <c r="U27" s="1">
        <v>0.1227</v>
      </c>
      <c r="V27" s="1" t="s">
        <v>96</v>
      </c>
      <c r="W27" s="1">
        <v>0.8017</v>
      </c>
      <c r="X27" s="1">
        <v>2.57</v>
      </c>
      <c r="Y27" s="1">
        <v>0.5697</v>
      </c>
      <c r="Z27" s="1">
        <v>0.4696</v>
      </c>
      <c r="AA27" s="1">
        <v>0.0875</v>
      </c>
      <c r="AB27" s="1">
        <v>0.3787</v>
      </c>
      <c r="AC27" s="1">
        <v>0.0524</v>
      </c>
      <c r="AD27" s="1" t="s">
        <v>96</v>
      </c>
      <c r="AE27" s="1">
        <v>0.0105</v>
      </c>
      <c r="AF27" s="1"/>
      <c r="AG27" s="1"/>
      <c r="AH27" s="1">
        <v>0.0439</v>
      </c>
      <c r="AI27" s="1">
        <v>0.011</v>
      </c>
      <c r="AJ27" s="1">
        <v>1.9879</v>
      </c>
      <c r="AK27" s="1">
        <v>0.0379</v>
      </c>
      <c r="AL27" s="1" t="s">
        <v>96</v>
      </c>
      <c r="AM27" s="1">
        <v>0.0095</v>
      </c>
      <c r="AN27" s="1" t="s">
        <v>96</v>
      </c>
      <c r="AO27" s="1">
        <v>0.0023</v>
      </c>
      <c r="AP27" s="1">
        <v>0.007</v>
      </c>
      <c r="AQ27" s="1">
        <v>0.0015</v>
      </c>
      <c r="AR27" s="1">
        <v>0.005</v>
      </c>
      <c r="AS27" s="1">
        <v>0.0012</v>
      </c>
      <c r="AT27" s="1" t="s">
        <v>96</v>
      </c>
      <c r="AU27" s="1">
        <v>0.0028</v>
      </c>
      <c r="AV27" s="1" t="s">
        <v>96</v>
      </c>
      <c r="AW27" s="1">
        <v>0.004</v>
      </c>
      <c r="AX27" s="1" t="s">
        <v>96</v>
      </c>
      <c r="AY27" s="1">
        <v>4.0E-4</v>
      </c>
      <c r="AZ27" s="1">
        <v>0.0152</v>
      </c>
      <c r="BA27" s="1">
        <v>0.0011</v>
      </c>
      <c r="BB27" s="1">
        <v>0.0041</v>
      </c>
      <c r="BC27" s="1">
        <v>6.0E-4</v>
      </c>
      <c r="BD27" s="1">
        <v>0.0027</v>
      </c>
      <c r="BE27" s="1">
        <f t="shared" si="1"/>
        <v>27</v>
      </c>
      <c r="BF27" s="3">
        <f t="shared" si="2"/>
        <v>31.05</v>
      </c>
      <c r="BG27" s="1">
        <v>4.0E-4</v>
      </c>
      <c r="BH27" s="1"/>
      <c r="BI27" s="1">
        <v>0.0317</v>
      </c>
      <c r="BJ27" s="1">
        <v>0.0012</v>
      </c>
      <c r="BK27" s="1" t="s">
        <v>96</v>
      </c>
      <c r="BL27" s="1">
        <v>0.0038</v>
      </c>
      <c r="BM27" s="1" t="s">
        <v>96</v>
      </c>
      <c r="BN27" s="1">
        <v>0.0023</v>
      </c>
      <c r="BO27" s="1" t="s">
        <v>96</v>
      </c>
      <c r="BP27" s="1">
        <v>0.0146</v>
      </c>
      <c r="BQ27" s="1" t="s">
        <v>96</v>
      </c>
      <c r="BR27" s="1">
        <v>0.0022</v>
      </c>
      <c r="BS27" s="1">
        <v>0.0141</v>
      </c>
      <c r="BT27" s="1">
        <v>0.0028</v>
      </c>
      <c r="BU27" s="1" t="s">
        <v>96</v>
      </c>
      <c r="BV27" s="1">
        <v>0.0039</v>
      </c>
      <c r="BW27" s="1" t="s">
        <v>96</v>
      </c>
      <c r="BX27" s="1">
        <v>0.0032</v>
      </c>
      <c r="BY27" s="1" t="s">
        <v>96</v>
      </c>
      <c r="BZ27" s="1">
        <v>0.001</v>
      </c>
      <c r="CA27" s="1">
        <v>0.0612</v>
      </c>
      <c r="CB27" s="1">
        <v>0.0095</v>
      </c>
      <c r="CC27" s="1" t="s">
        <v>96</v>
      </c>
      <c r="CD27" s="1">
        <v>0.0019</v>
      </c>
      <c r="CE27" s="1"/>
      <c r="CF27" s="1"/>
      <c r="CG27" s="1" t="s">
        <v>96</v>
      </c>
      <c r="CH27" s="1">
        <v>2.0E-4</v>
      </c>
      <c r="CI27" s="1"/>
      <c r="CJ27" s="1"/>
      <c r="CK27" s="1">
        <v>0.0071</v>
      </c>
      <c r="CL27" s="1">
        <v>0.0021</v>
      </c>
      <c r="CM27" s="1">
        <v>0.0017</v>
      </c>
      <c r="CN27" s="1">
        <v>0.0015</v>
      </c>
      <c r="CO27" s="1">
        <v>0.002</v>
      </c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 ht="14.25" customHeight="1">
      <c r="A28" s="1" t="s">
        <v>136</v>
      </c>
      <c r="B28" s="1">
        <v>1139885.0</v>
      </c>
      <c r="C28" s="3">
        <v>323.576904</v>
      </c>
      <c r="D28" s="3">
        <v>732702.080837</v>
      </c>
      <c r="E28" s="3">
        <v>5991640.824105</v>
      </c>
      <c r="F28" s="3"/>
      <c r="G28" s="3"/>
      <c r="H28" s="1" t="s">
        <v>108</v>
      </c>
      <c r="I28" s="1"/>
      <c r="J28" s="1"/>
      <c r="K28" s="1"/>
      <c r="L28" s="1"/>
      <c r="M28" s="2"/>
      <c r="N28" s="2"/>
      <c r="O28" s="1" t="s">
        <v>137</v>
      </c>
      <c r="P28" s="1"/>
      <c r="Q28" s="1"/>
      <c r="R28" s="1">
        <v>7.9138</v>
      </c>
      <c r="S28" s="1">
        <v>0.1493</v>
      </c>
      <c r="T28" s="1">
        <v>19.714</v>
      </c>
      <c r="U28" s="1">
        <v>0.1375</v>
      </c>
      <c r="V28" s="1" t="s">
        <v>96</v>
      </c>
      <c r="W28" s="1">
        <v>0.837</v>
      </c>
      <c r="X28" s="1">
        <v>0.8745</v>
      </c>
      <c r="Y28" s="1">
        <v>0.3848</v>
      </c>
      <c r="Z28" s="1">
        <v>0.353</v>
      </c>
      <c r="AA28" s="1">
        <v>0.0785</v>
      </c>
      <c r="AB28" s="1">
        <v>0.6996</v>
      </c>
      <c r="AC28" s="1">
        <v>0.0674</v>
      </c>
      <c r="AD28" s="1">
        <v>0.022</v>
      </c>
      <c r="AE28" s="1">
        <v>0.0125</v>
      </c>
      <c r="AF28" s="1"/>
      <c r="AG28" s="1"/>
      <c r="AH28" s="1">
        <v>0.1769</v>
      </c>
      <c r="AI28" s="1">
        <v>0.0193</v>
      </c>
      <c r="AJ28" s="1">
        <v>3.8166</v>
      </c>
      <c r="AK28" s="1">
        <v>0.0575</v>
      </c>
      <c r="AL28" s="1" t="s">
        <v>96</v>
      </c>
      <c r="AM28" s="1">
        <v>0.0126</v>
      </c>
      <c r="AN28" s="1" t="s">
        <v>96</v>
      </c>
      <c r="AO28" s="1">
        <v>0.0031</v>
      </c>
      <c r="AP28" s="1">
        <v>0.0115</v>
      </c>
      <c r="AQ28" s="1">
        <v>0.0018</v>
      </c>
      <c r="AR28" s="1">
        <v>0.007</v>
      </c>
      <c r="AS28" s="1">
        <v>0.0015</v>
      </c>
      <c r="AT28" s="1">
        <v>0.0037</v>
      </c>
      <c r="AU28" s="1">
        <v>0.0029</v>
      </c>
      <c r="AV28" s="1" t="s">
        <v>96</v>
      </c>
      <c r="AW28" s="1">
        <v>0.0051</v>
      </c>
      <c r="AX28" s="1" t="s">
        <v>96</v>
      </c>
      <c r="AY28" s="1">
        <v>4.0E-4</v>
      </c>
      <c r="AZ28" s="1">
        <v>0.0073</v>
      </c>
      <c r="BA28" s="1">
        <v>9.0E-4</v>
      </c>
      <c r="BB28" s="1">
        <v>0.0058</v>
      </c>
      <c r="BC28" s="1">
        <v>7.0E-4</v>
      </c>
      <c r="BD28" s="1">
        <v>0.0032</v>
      </c>
      <c r="BE28" s="1">
        <f t="shared" si="1"/>
        <v>32</v>
      </c>
      <c r="BF28" s="3">
        <f t="shared" si="2"/>
        <v>36.8</v>
      </c>
      <c r="BG28" s="1">
        <v>4.0E-4</v>
      </c>
      <c r="BH28" s="1"/>
      <c r="BI28" s="1">
        <v>0.0305</v>
      </c>
      <c r="BJ28" s="1">
        <v>0.0012</v>
      </c>
      <c r="BK28" s="1" t="s">
        <v>96</v>
      </c>
      <c r="BL28" s="1">
        <v>0.0037</v>
      </c>
      <c r="BM28" s="1" t="s">
        <v>96</v>
      </c>
      <c r="BN28" s="1">
        <v>0.0021</v>
      </c>
      <c r="BO28" s="1" t="s">
        <v>96</v>
      </c>
      <c r="BP28" s="1">
        <v>0.0132</v>
      </c>
      <c r="BQ28" s="1" t="s">
        <v>96</v>
      </c>
      <c r="BR28" s="1">
        <v>0.0024</v>
      </c>
      <c r="BS28" s="1">
        <v>0.0264</v>
      </c>
      <c r="BT28" s="1">
        <v>0.0032</v>
      </c>
      <c r="BU28" s="1" t="s">
        <v>96</v>
      </c>
      <c r="BV28" s="1">
        <v>0.0044</v>
      </c>
      <c r="BW28" s="1" t="s">
        <v>96</v>
      </c>
      <c r="BX28" s="1">
        <v>0.0036</v>
      </c>
      <c r="BY28" s="1" t="s">
        <v>96</v>
      </c>
      <c r="BZ28" s="1">
        <v>0.0012</v>
      </c>
      <c r="CA28" s="1">
        <v>0.0382</v>
      </c>
      <c r="CB28" s="1">
        <v>0.0108</v>
      </c>
      <c r="CC28" s="1" t="s">
        <v>96</v>
      </c>
      <c r="CD28" s="1">
        <v>0.0022</v>
      </c>
      <c r="CE28" s="1" t="s">
        <v>96</v>
      </c>
      <c r="CF28" s="1">
        <v>0.0063</v>
      </c>
      <c r="CG28" s="1" t="s">
        <v>96</v>
      </c>
      <c r="CH28" s="1">
        <v>2.0E-4</v>
      </c>
      <c r="CI28" s="1"/>
      <c r="CJ28" s="1"/>
      <c r="CK28" s="1">
        <v>0.0039</v>
      </c>
      <c r="CL28" s="1">
        <v>0.0022</v>
      </c>
      <c r="CM28" s="1" t="s">
        <v>96</v>
      </c>
      <c r="CN28" s="1">
        <v>0.0017</v>
      </c>
      <c r="CO28" s="1">
        <v>8.0E-4</v>
      </c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 ht="14.25" customHeight="1">
      <c r="A29" s="1" t="s">
        <v>138</v>
      </c>
      <c r="B29" s="1">
        <v>1139886.0</v>
      </c>
      <c r="C29" s="3">
        <v>280.860413</v>
      </c>
      <c r="D29" s="3">
        <v>736238.119227</v>
      </c>
      <c r="E29" s="3">
        <v>5993374.531317</v>
      </c>
      <c r="F29" s="4">
        <v>0.0</v>
      </c>
      <c r="G29" s="4">
        <v>0.75</v>
      </c>
      <c r="H29" s="1" t="s">
        <v>94</v>
      </c>
      <c r="I29" s="1"/>
      <c r="J29" s="1"/>
      <c r="K29" s="1"/>
      <c r="L29" s="1"/>
      <c r="M29" s="2"/>
      <c r="N29" s="2" t="s">
        <v>111</v>
      </c>
      <c r="O29" s="1" t="s">
        <v>123</v>
      </c>
      <c r="P29" s="1"/>
      <c r="Q29" s="1"/>
      <c r="R29" s="1">
        <v>5.7446</v>
      </c>
      <c r="S29" s="1">
        <v>0.1128</v>
      </c>
      <c r="T29" s="1">
        <v>13.3737</v>
      </c>
      <c r="U29" s="1">
        <v>0.0957</v>
      </c>
      <c r="V29" s="1" t="s">
        <v>96</v>
      </c>
      <c r="W29" s="1">
        <v>0.7968</v>
      </c>
      <c r="X29" s="1">
        <v>0.4651</v>
      </c>
      <c r="Y29" s="1">
        <v>0.3129</v>
      </c>
      <c r="Z29" s="1">
        <v>0.6692</v>
      </c>
      <c r="AA29" s="1">
        <v>0.1024</v>
      </c>
      <c r="AB29" s="1">
        <v>0.8576</v>
      </c>
      <c r="AC29" s="1">
        <v>0.0751</v>
      </c>
      <c r="AD29" s="1">
        <v>0.0278</v>
      </c>
      <c r="AE29" s="1">
        <v>0.0141</v>
      </c>
      <c r="AF29" s="1"/>
      <c r="AG29" s="1"/>
      <c r="AH29" s="1">
        <v>0.092</v>
      </c>
      <c r="AI29" s="1">
        <v>0.0155</v>
      </c>
      <c r="AJ29" s="1">
        <v>5.5177</v>
      </c>
      <c r="AK29" s="1">
        <v>0.073</v>
      </c>
      <c r="AL29" s="1" t="s">
        <v>96</v>
      </c>
      <c r="AM29" s="1">
        <v>0.0143</v>
      </c>
      <c r="AN29" s="1" t="s">
        <v>96</v>
      </c>
      <c r="AO29" s="1">
        <v>0.0032</v>
      </c>
      <c r="AP29" s="1">
        <v>0.0108</v>
      </c>
      <c r="AQ29" s="1">
        <v>0.0017</v>
      </c>
      <c r="AR29" s="1">
        <v>0.0052</v>
      </c>
      <c r="AS29" s="1">
        <v>0.0014</v>
      </c>
      <c r="AT29" s="1">
        <v>0.0039</v>
      </c>
      <c r="AU29" s="1">
        <v>0.0026</v>
      </c>
      <c r="AV29" s="1" t="s">
        <v>96</v>
      </c>
      <c r="AW29" s="1">
        <v>0.005</v>
      </c>
      <c r="AX29" s="1" t="s">
        <v>96</v>
      </c>
      <c r="AY29" s="1">
        <v>4.0E-4</v>
      </c>
      <c r="AZ29" s="1">
        <v>0.003</v>
      </c>
      <c r="BA29" s="1">
        <v>6.0E-4</v>
      </c>
      <c r="BB29" s="1">
        <v>0.0116</v>
      </c>
      <c r="BC29" s="1">
        <v>0.001</v>
      </c>
      <c r="BD29" s="1">
        <v>0.0036</v>
      </c>
      <c r="BE29" s="1">
        <f t="shared" si="1"/>
        <v>36</v>
      </c>
      <c r="BF29" s="3">
        <f t="shared" si="2"/>
        <v>41.4</v>
      </c>
      <c r="BG29" s="1">
        <v>4.0E-4</v>
      </c>
      <c r="BH29" s="1"/>
      <c r="BI29" s="1">
        <v>0.0164</v>
      </c>
      <c r="BJ29" s="1">
        <v>0.001</v>
      </c>
      <c r="BK29" s="1" t="s">
        <v>96</v>
      </c>
      <c r="BL29" s="1">
        <v>0.0034</v>
      </c>
      <c r="BM29" s="1" t="s">
        <v>96</v>
      </c>
      <c r="BN29" s="1">
        <v>0.002</v>
      </c>
      <c r="BO29" s="1" t="s">
        <v>96</v>
      </c>
      <c r="BP29" s="1">
        <v>0.0115</v>
      </c>
      <c r="BQ29" s="1" t="s">
        <v>96</v>
      </c>
      <c r="BR29" s="1">
        <v>0.0023</v>
      </c>
      <c r="BS29" s="1">
        <v>0.0179</v>
      </c>
      <c r="BT29" s="1">
        <v>0.003</v>
      </c>
      <c r="BU29" s="1" t="s">
        <v>96</v>
      </c>
      <c r="BV29" s="1">
        <v>0.0042</v>
      </c>
      <c r="BW29" s="1" t="s">
        <v>96</v>
      </c>
      <c r="BX29" s="1">
        <v>0.0032</v>
      </c>
      <c r="BY29" s="1" t="s">
        <v>96</v>
      </c>
      <c r="BZ29" s="1">
        <v>0.0011</v>
      </c>
      <c r="CA29" s="1">
        <v>0.0403</v>
      </c>
      <c r="CB29" s="1">
        <v>0.0108</v>
      </c>
      <c r="CC29" s="1" t="s">
        <v>96</v>
      </c>
      <c r="CD29" s="1">
        <v>0.0022</v>
      </c>
      <c r="CE29" s="1" t="s">
        <v>96</v>
      </c>
      <c r="CF29" s="1">
        <v>0.0061</v>
      </c>
      <c r="CG29" s="1" t="s">
        <v>96</v>
      </c>
      <c r="CH29" s="1">
        <v>2.0E-4</v>
      </c>
      <c r="CI29" s="1"/>
      <c r="CJ29" s="1"/>
      <c r="CK29" s="1" t="s">
        <v>96</v>
      </c>
      <c r="CL29" s="1">
        <v>0.0018</v>
      </c>
      <c r="CM29" s="1" t="s">
        <v>96</v>
      </c>
      <c r="CN29" s="1">
        <v>0.0016</v>
      </c>
      <c r="CO29" s="1" t="s">
        <v>96</v>
      </c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 ht="14.25" customHeight="1">
      <c r="A30" s="1" t="s">
        <v>139</v>
      </c>
      <c r="B30" s="1">
        <v>1139887.0</v>
      </c>
      <c r="C30" s="3">
        <v>275.403564</v>
      </c>
      <c r="D30" s="3">
        <v>738511.06497</v>
      </c>
      <c r="E30" s="3">
        <v>5992973.511268</v>
      </c>
      <c r="F30" s="3"/>
      <c r="G30" s="3"/>
      <c r="H30" s="1" t="s">
        <v>108</v>
      </c>
      <c r="I30" s="1" t="s">
        <v>95</v>
      </c>
      <c r="J30" s="1"/>
      <c r="K30" s="1"/>
      <c r="L30" s="1"/>
      <c r="M30" s="2"/>
      <c r="N30" s="2" t="s">
        <v>114</v>
      </c>
      <c r="O30" s="1" t="s">
        <v>123</v>
      </c>
      <c r="P30" s="1"/>
      <c r="Q30" s="1"/>
      <c r="R30" s="1">
        <v>3.9676</v>
      </c>
      <c r="S30" s="1">
        <v>0.155</v>
      </c>
      <c r="T30" s="1">
        <v>10.4889</v>
      </c>
      <c r="U30" s="1">
        <v>0.1303</v>
      </c>
      <c r="V30" s="1" t="s">
        <v>96</v>
      </c>
      <c r="W30" s="1">
        <v>0.7876</v>
      </c>
      <c r="X30" s="1" t="s">
        <v>96</v>
      </c>
      <c r="Y30" s="1">
        <v>0.361</v>
      </c>
      <c r="Z30" s="1">
        <v>0.101</v>
      </c>
      <c r="AA30" s="1">
        <v>0.0699</v>
      </c>
      <c r="AB30" s="1">
        <v>0.4691</v>
      </c>
      <c r="AC30" s="1">
        <v>0.0857</v>
      </c>
      <c r="AD30" s="1"/>
      <c r="AE30" s="1"/>
      <c r="AF30" s="1" t="s">
        <v>96</v>
      </c>
      <c r="AG30" s="1">
        <v>0.0101</v>
      </c>
      <c r="AH30" s="1">
        <v>1.3807</v>
      </c>
      <c r="AI30" s="1">
        <v>0.07</v>
      </c>
      <c r="AJ30" s="1">
        <v>7.7061</v>
      </c>
      <c r="AK30" s="1">
        <v>0.1705</v>
      </c>
      <c r="AL30" s="1" t="s">
        <v>96</v>
      </c>
      <c r="AM30" s="1">
        <v>0.0181</v>
      </c>
      <c r="AN30" s="1" t="s">
        <v>96</v>
      </c>
      <c r="AO30" s="1">
        <v>0.0037</v>
      </c>
      <c r="AP30" s="1">
        <v>0.0142</v>
      </c>
      <c r="AQ30" s="1">
        <v>0.0033</v>
      </c>
      <c r="AR30" s="1">
        <v>0.0052</v>
      </c>
      <c r="AS30" s="1">
        <v>0.0026</v>
      </c>
      <c r="AT30" s="1" t="s">
        <v>96</v>
      </c>
      <c r="AU30" s="1">
        <v>0.0027</v>
      </c>
      <c r="AV30" s="1" t="s">
        <v>96</v>
      </c>
      <c r="AW30" s="1">
        <v>0.0093</v>
      </c>
      <c r="AX30" s="1" t="s">
        <v>96</v>
      </c>
      <c r="AY30" s="1">
        <v>9.0E-4</v>
      </c>
      <c r="AZ30" s="1">
        <v>0.0035</v>
      </c>
      <c r="BA30" s="1">
        <v>0.0013</v>
      </c>
      <c r="BB30" s="1">
        <v>0.0015</v>
      </c>
      <c r="BC30" s="1">
        <v>0.001</v>
      </c>
      <c r="BD30" s="1">
        <v>0.0019</v>
      </c>
      <c r="BE30" s="1">
        <f t="shared" si="1"/>
        <v>19</v>
      </c>
      <c r="BF30" s="3">
        <f t="shared" si="2"/>
        <v>21.85</v>
      </c>
      <c r="BG30" s="1">
        <v>7.0E-4</v>
      </c>
      <c r="BH30" s="1"/>
      <c r="BI30" s="1">
        <v>0.019</v>
      </c>
      <c r="BJ30" s="1">
        <v>0.0018</v>
      </c>
      <c r="BK30" s="1" t="s">
        <v>96</v>
      </c>
      <c r="BL30" s="1">
        <v>0.0034</v>
      </c>
      <c r="BM30" s="1"/>
      <c r="BN30" s="1"/>
      <c r="BO30" s="1" t="s">
        <v>96</v>
      </c>
      <c r="BP30" s="1">
        <v>0.0099</v>
      </c>
      <c r="BQ30" s="1" t="s">
        <v>96</v>
      </c>
      <c r="BR30" s="1">
        <v>0.0042</v>
      </c>
      <c r="BS30" s="1">
        <v>0.0265</v>
      </c>
      <c r="BT30" s="1">
        <v>0.0055</v>
      </c>
      <c r="BU30" s="1" t="s">
        <v>96</v>
      </c>
      <c r="BV30" s="1">
        <v>0.0074</v>
      </c>
      <c r="BW30" s="1" t="s">
        <v>96</v>
      </c>
      <c r="BX30" s="1">
        <v>0.0068</v>
      </c>
      <c r="BY30" s="1" t="s">
        <v>96</v>
      </c>
      <c r="BZ30" s="1">
        <v>0.0023</v>
      </c>
      <c r="CA30" s="1">
        <v>0.0729</v>
      </c>
      <c r="CB30" s="1">
        <v>0.0209</v>
      </c>
      <c r="CC30" s="1" t="s">
        <v>96</v>
      </c>
      <c r="CD30" s="1">
        <v>0.0047</v>
      </c>
      <c r="CE30" s="1"/>
      <c r="CF30" s="1"/>
      <c r="CG30" s="1" t="s">
        <v>96</v>
      </c>
      <c r="CH30" s="1">
        <v>3.0E-4</v>
      </c>
      <c r="CI30" s="1"/>
      <c r="CJ30" s="1"/>
      <c r="CK30" s="1" t="s">
        <v>96</v>
      </c>
      <c r="CL30" s="1">
        <v>0.0038</v>
      </c>
      <c r="CM30" s="1" t="s">
        <v>96</v>
      </c>
      <c r="CN30" s="1">
        <v>0.0032</v>
      </c>
      <c r="CO30" s="1" t="s">
        <v>96</v>
      </c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ht="14.25" customHeight="1">
      <c r="A31" s="1" t="s">
        <v>139</v>
      </c>
      <c r="B31" s="1">
        <v>1139888.0</v>
      </c>
      <c r="C31" s="3">
        <v>275.403564</v>
      </c>
      <c r="D31" s="3">
        <v>738511.06497</v>
      </c>
      <c r="E31" s="3">
        <v>5992973.511268</v>
      </c>
      <c r="F31" s="3"/>
      <c r="G31" s="3"/>
      <c r="H31" s="1" t="s">
        <v>103</v>
      </c>
      <c r="I31" s="1" t="s">
        <v>95</v>
      </c>
      <c r="J31" s="1"/>
      <c r="K31" s="1"/>
      <c r="L31" s="1"/>
      <c r="M31" s="2"/>
      <c r="N31" s="2" t="s">
        <v>114</v>
      </c>
      <c r="O31" s="1" t="s">
        <v>119</v>
      </c>
      <c r="P31" s="1"/>
      <c r="Q31" s="1"/>
      <c r="R31" s="1">
        <v>5.1313</v>
      </c>
      <c r="S31" s="1">
        <v>0.1925</v>
      </c>
      <c r="T31" s="1">
        <v>16.591</v>
      </c>
      <c r="U31" s="1">
        <v>0.1862</v>
      </c>
      <c r="V31" s="1" t="s">
        <v>96</v>
      </c>
      <c r="W31" s="1">
        <v>1.1213</v>
      </c>
      <c r="X31" s="1">
        <v>0.5253</v>
      </c>
      <c r="Y31" s="1">
        <v>0.4889</v>
      </c>
      <c r="Z31" s="1">
        <v>0.1482</v>
      </c>
      <c r="AA31" s="1">
        <v>0.0848</v>
      </c>
      <c r="AB31" s="1">
        <v>1.2091</v>
      </c>
      <c r="AC31" s="1">
        <v>0.1216</v>
      </c>
      <c r="AD31" s="1">
        <v>0.0496</v>
      </c>
      <c r="AE31" s="1">
        <v>0.0227</v>
      </c>
      <c r="AF31" s="1"/>
      <c r="AG31" s="1"/>
      <c r="AH31" s="1">
        <v>0.5791</v>
      </c>
      <c r="AI31" s="1">
        <v>0.0467</v>
      </c>
      <c r="AJ31" s="1">
        <v>5.9482</v>
      </c>
      <c r="AK31" s="1">
        <v>0.1113</v>
      </c>
      <c r="AL31" s="1" t="s">
        <v>96</v>
      </c>
      <c r="AM31" s="1">
        <v>0.0209</v>
      </c>
      <c r="AN31" s="1" t="s">
        <v>96</v>
      </c>
      <c r="AO31" s="1">
        <v>0.0047</v>
      </c>
      <c r="AP31" s="1">
        <v>0.0103</v>
      </c>
      <c r="AQ31" s="1">
        <v>0.0023</v>
      </c>
      <c r="AR31" s="1">
        <v>0.0049</v>
      </c>
      <c r="AS31" s="1">
        <v>0.002</v>
      </c>
      <c r="AT31" s="1" t="s">
        <v>96</v>
      </c>
      <c r="AU31" s="1">
        <v>0.0036</v>
      </c>
      <c r="AV31" s="1" t="s">
        <v>96</v>
      </c>
      <c r="AW31" s="1">
        <v>0.0065</v>
      </c>
      <c r="AX31" s="1" t="s">
        <v>96</v>
      </c>
      <c r="AY31" s="1">
        <v>6.0E-4</v>
      </c>
      <c r="AZ31" s="1">
        <v>0.0043</v>
      </c>
      <c r="BA31" s="1">
        <v>0.001</v>
      </c>
      <c r="BB31" s="1">
        <v>0.0025</v>
      </c>
      <c r="BC31" s="1">
        <v>8.0E-4</v>
      </c>
      <c r="BD31" s="1">
        <v>0.0029</v>
      </c>
      <c r="BE31" s="1">
        <f t="shared" si="1"/>
        <v>29</v>
      </c>
      <c r="BF31" s="3">
        <f t="shared" si="2"/>
        <v>33.35</v>
      </c>
      <c r="BG31" s="1">
        <v>5.0E-4</v>
      </c>
      <c r="BH31" s="1"/>
      <c r="BI31" s="1">
        <v>0.0328</v>
      </c>
      <c r="BJ31" s="1">
        <v>0.0017</v>
      </c>
      <c r="BK31" s="1" t="s">
        <v>96</v>
      </c>
      <c r="BL31" s="1">
        <v>0.0043</v>
      </c>
      <c r="BM31" s="1" t="s">
        <v>96</v>
      </c>
      <c r="BN31" s="1">
        <v>0.0026</v>
      </c>
      <c r="BO31" s="1" t="s">
        <v>96</v>
      </c>
      <c r="BP31" s="1">
        <v>0.0141</v>
      </c>
      <c r="BQ31" s="1" t="s">
        <v>96</v>
      </c>
      <c r="BR31" s="1">
        <v>0.003</v>
      </c>
      <c r="BS31" s="1">
        <v>0.0111</v>
      </c>
      <c r="BT31" s="1">
        <v>0.0038</v>
      </c>
      <c r="BU31" s="1" t="s">
        <v>96</v>
      </c>
      <c r="BV31" s="1">
        <v>0.0053</v>
      </c>
      <c r="BW31" s="1" t="s">
        <v>96</v>
      </c>
      <c r="BX31" s="1">
        <v>0.0043</v>
      </c>
      <c r="BY31" s="1" t="s">
        <v>96</v>
      </c>
      <c r="BZ31" s="1">
        <v>0.0014</v>
      </c>
      <c r="CA31" s="1">
        <v>0.0313</v>
      </c>
      <c r="CB31" s="1">
        <v>0.0135</v>
      </c>
      <c r="CC31" s="1" t="s">
        <v>96</v>
      </c>
      <c r="CD31" s="1">
        <v>0.0035</v>
      </c>
      <c r="CE31" s="1" t="s">
        <v>96</v>
      </c>
      <c r="CF31" s="1">
        <v>0.0072</v>
      </c>
      <c r="CG31" s="1" t="s">
        <v>96</v>
      </c>
      <c r="CH31" s="1">
        <v>2.0E-4</v>
      </c>
      <c r="CI31" s="1"/>
      <c r="CJ31" s="1"/>
      <c r="CK31" s="1" t="s">
        <v>96</v>
      </c>
      <c r="CL31" s="1">
        <v>0.0026</v>
      </c>
      <c r="CM31" s="1" t="s">
        <v>96</v>
      </c>
      <c r="CN31" s="1">
        <v>0.0022</v>
      </c>
      <c r="CO31" s="1" t="s">
        <v>96</v>
      </c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ht="14.25" customHeight="1">
      <c r="A32" s="1" t="s">
        <v>140</v>
      </c>
      <c r="B32" s="1">
        <v>1139889.0</v>
      </c>
      <c r="C32" s="3">
        <v>278.968811</v>
      </c>
      <c r="D32" s="3">
        <v>718115.517815</v>
      </c>
      <c r="E32" s="3">
        <v>5985939.705697</v>
      </c>
      <c r="F32" s="4">
        <v>0.0</v>
      </c>
      <c r="G32" s="4">
        <v>1.0</v>
      </c>
      <c r="H32" s="1" t="s">
        <v>108</v>
      </c>
      <c r="I32" s="1" t="s">
        <v>95</v>
      </c>
      <c r="J32" s="1"/>
      <c r="K32" s="1"/>
      <c r="L32" s="1"/>
      <c r="M32" s="2" t="s">
        <v>141</v>
      </c>
      <c r="N32" s="2"/>
      <c r="O32" s="1" t="s">
        <v>115</v>
      </c>
      <c r="P32" s="1"/>
      <c r="Q32" s="1"/>
      <c r="R32" s="1">
        <v>10.3514</v>
      </c>
      <c r="S32" s="1">
        <v>0.265</v>
      </c>
      <c r="T32" s="1">
        <v>18.9702</v>
      </c>
      <c r="U32" s="1">
        <v>0.2201</v>
      </c>
      <c r="V32" s="1" t="s">
        <v>96</v>
      </c>
      <c r="W32" s="1">
        <v>1.0715</v>
      </c>
      <c r="X32" s="1">
        <v>1.5023</v>
      </c>
      <c r="Y32" s="1">
        <v>0.657</v>
      </c>
      <c r="Z32" s="1">
        <v>0.1242</v>
      </c>
      <c r="AA32" s="1">
        <v>0.076</v>
      </c>
      <c r="AB32" s="1">
        <v>0.6101</v>
      </c>
      <c r="AC32" s="1">
        <v>0.0884</v>
      </c>
      <c r="AD32" s="1">
        <v>0.0223</v>
      </c>
      <c r="AE32" s="1">
        <v>0.017</v>
      </c>
      <c r="AF32" s="1"/>
      <c r="AG32" s="1"/>
      <c r="AH32" s="1">
        <v>0.0327</v>
      </c>
      <c r="AI32" s="1">
        <v>0.0147</v>
      </c>
      <c r="AJ32" s="1">
        <v>2.9108</v>
      </c>
      <c r="AK32" s="1">
        <v>0.0644</v>
      </c>
      <c r="AL32" s="1" t="s">
        <v>96</v>
      </c>
      <c r="AM32" s="1">
        <v>0.0168</v>
      </c>
      <c r="AN32" s="1" t="s">
        <v>96</v>
      </c>
      <c r="AO32" s="1">
        <v>0.0029</v>
      </c>
      <c r="AP32" s="1">
        <v>0.0063</v>
      </c>
      <c r="AQ32" s="1">
        <v>0.0016</v>
      </c>
      <c r="AR32" s="1">
        <v>0.0063</v>
      </c>
      <c r="AS32" s="1">
        <v>0.0019</v>
      </c>
      <c r="AT32" s="1">
        <v>0.0076</v>
      </c>
      <c r="AU32" s="1">
        <v>0.0048</v>
      </c>
      <c r="AV32" s="1" t="s">
        <v>96</v>
      </c>
      <c r="AW32" s="1">
        <v>0.0046</v>
      </c>
      <c r="AX32" s="1" t="s">
        <v>96</v>
      </c>
      <c r="AY32" s="1">
        <v>4.0E-4</v>
      </c>
      <c r="AZ32" s="1">
        <v>0.0142</v>
      </c>
      <c r="BA32" s="1">
        <v>0.0013</v>
      </c>
      <c r="BB32" s="1">
        <v>0.0035</v>
      </c>
      <c r="BC32" s="1">
        <v>7.0E-4</v>
      </c>
      <c r="BD32" s="1">
        <v>0.0032</v>
      </c>
      <c r="BE32" s="1">
        <f t="shared" si="1"/>
        <v>32</v>
      </c>
      <c r="BF32" s="3">
        <f t="shared" si="2"/>
        <v>36.8</v>
      </c>
      <c r="BG32" s="1">
        <v>5.0E-4</v>
      </c>
      <c r="BH32" s="1"/>
      <c r="BI32" s="1">
        <v>0.017</v>
      </c>
      <c r="BJ32" s="1">
        <v>0.0011</v>
      </c>
      <c r="BK32" s="1" t="s">
        <v>96</v>
      </c>
      <c r="BL32" s="1">
        <v>0.0047</v>
      </c>
      <c r="BM32" s="1" t="s">
        <v>96</v>
      </c>
      <c r="BN32" s="1">
        <v>0.0029</v>
      </c>
      <c r="BO32" s="1" t="s">
        <v>96</v>
      </c>
      <c r="BP32" s="1">
        <v>0.0177</v>
      </c>
      <c r="BQ32" s="1" t="s">
        <v>96</v>
      </c>
      <c r="BR32" s="1">
        <v>0.0026</v>
      </c>
      <c r="BS32" s="1"/>
      <c r="BT32" s="1"/>
      <c r="BU32" s="1" t="s">
        <v>96</v>
      </c>
      <c r="BV32" s="1">
        <v>0.0045</v>
      </c>
      <c r="BW32" s="1" t="s">
        <v>96</v>
      </c>
      <c r="BX32" s="1">
        <v>0.0035</v>
      </c>
      <c r="BY32" s="1" t="s">
        <v>96</v>
      </c>
      <c r="BZ32" s="1">
        <v>0.0011</v>
      </c>
      <c r="CA32" s="1">
        <v>0.0327</v>
      </c>
      <c r="CB32" s="1">
        <v>0.0106</v>
      </c>
      <c r="CC32" s="1" t="s">
        <v>96</v>
      </c>
      <c r="CD32" s="1">
        <v>0.0027</v>
      </c>
      <c r="CE32" s="1" t="s">
        <v>96</v>
      </c>
      <c r="CF32" s="1">
        <v>0.0076</v>
      </c>
      <c r="CG32" s="1" t="s">
        <v>96</v>
      </c>
      <c r="CH32" s="1">
        <v>2.0E-4</v>
      </c>
      <c r="CI32" s="1"/>
      <c r="CJ32" s="1"/>
      <c r="CK32" s="1" t="s">
        <v>96</v>
      </c>
      <c r="CL32" s="1">
        <v>0.002</v>
      </c>
      <c r="CM32" s="1">
        <v>0.0026</v>
      </c>
      <c r="CN32" s="1">
        <v>0.0018</v>
      </c>
      <c r="CO32" s="1">
        <v>0.002</v>
      </c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 ht="14.25" customHeight="1">
      <c r="A33" s="1" t="s">
        <v>142</v>
      </c>
      <c r="B33" s="1">
        <v>1139890.0</v>
      </c>
      <c r="C33" s="3">
        <v>279.269043</v>
      </c>
      <c r="D33" s="3">
        <v>718071.92604</v>
      </c>
      <c r="E33" s="3">
        <v>5985969.440459</v>
      </c>
      <c r="F33" s="4">
        <v>0.0</v>
      </c>
      <c r="G33" s="4">
        <v>1.0</v>
      </c>
      <c r="H33" s="1" t="s">
        <v>108</v>
      </c>
      <c r="I33" s="1" t="s">
        <v>95</v>
      </c>
      <c r="J33" s="1"/>
      <c r="K33" s="1"/>
      <c r="L33" s="1"/>
      <c r="M33" s="2" t="s">
        <v>143</v>
      </c>
      <c r="N33" s="2" t="s">
        <v>135</v>
      </c>
      <c r="O33" s="1" t="s">
        <v>123</v>
      </c>
      <c r="P33" s="1"/>
      <c r="Q33" s="1"/>
      <c r="R33" s="1">
        <v>9.3353</v>
      </c>
      <c r="S33" s="1">
        <v>0.2493</v>
      </c>
      <c r="T33" s="1">
        <v>16.0901</v>
      </c>
      <c r="U33" s="1">
        <v>0.1962</v>
      </c>
      <c r="V33" s="1" t="s">
        <v>96</v>
      </c>
      <c r="W33" s="1">
        <v>1.1999</v>
      </c>
      <c r="X33" s="1">
        <v>2.4329</v>
      </c>
      <c r="Y33" s="1">
        <v>0.8026</v>
      </c>
      <c r="Z33" s="1">
        <v>0.1633</v>
      </c>
      <c r="AA33" s="1">
        <v>0.0827</v>
      </c>
      <c r="AB33" s="1">
        <v>0.5766</v>
      </c>
      <c r="AC33" s="1">
        <v>0.0891</v>
      </c>
      <c r="AD33" s="1" t="s">
        <v>96</v>
      </c>
      <c r="AE33" s="1">
        <v>0.0173</v>
      </c>
      <c r="AF33" s="1" t="s">
        <v>96</v>
      </c>
      <c r="AG33" s="1">
        <v>0.0116</v>
      </c>
      <c r="AH33" s="1">
        <v>0.0208</v>
      </c>
      <c r="AI33" s="1">
        <v>0.0149</v>
      </c>
      <c r="AJ33" s="1">
        <v>3.882</v>
      </c>
      <c r="AK33" s="1">
        <v>0.0796</v>
      </c>
      <c r="AL33" s="1" t="s">
        <v>96</v>
      </c>
      <c r="AM33" s="1">
        <v>0.0182</v>
      </c>
      <c r="AN33" s="1" t="s">
        <v>96</v>
      </c>
      <c r="AO33" s="1">
        <v>0.0035</v>
      </c>
      <c r="AP33" s="1">
        <v>0.0073</v>
      </c>
      <c r="AQ33" s="1">
        <v>0.0017</v>
      </c>
      <c r="AR33" s="1">
        <v>0.0096</v>
      </c>
      <c r="AS33" s="1">
        <v>0.0023</v>
      </c>
      <c r="AT33" s="1">
        <v>0.0069</v>
      </c>
      <c r="AU33" s="1">
        <v>0.0045</v>
      </c>
      <c r="AV33" s="1" t="s">
        <v>96</v>
      </c>
      <c r="AW33" s="1">
        <v>0.0054</v>
      </c>
      <c r="AX33" s="1" t="s">
        <v>96</v>
      </c>
      <c r="AY33" s="1">
        <v>5.0E-4</v>
      </c>
      <c r="AZ33" s="1">
        <v>0.0243</v>
      </c>
      <c r="BA33" s="1">
        <v>0.0018</v>
      </c>
      <c r="BB33" s="1">
        <v>0.0046</v>
      </c>
      <c r="BC33" s="1">
        <v>8.0E-4</v>
      </c>
      <c r="BD33" s="1">
        <v>0.0047</v>
      </c>
      <c r="BE33" s="1">
        <f t="shared" si="1"/>
        <v>47</v>
      </c>
      <c r="BF33" s="3">
        <f t="shared" si="2"/>
        <v>54.05</v>
      </c>
      <c r="BG33" s="1">
        <v>6.0E-4</v>
      </c>
      <c r="BH33" s="1"/>
      <c r="BI33" s="1">
        <v>0.0276</v>
      </c>
      <c r="BJ33" s="1">
        <v>0.0015</v>
      </c>
      <c r="BK33" s="1" t="s">
        <v>96</v>
      </c>
      <c r="BL33" s="1">
        <v>0.0047</v>
      </c>
      <c r="BM33" s="1" t="s">
        <v>96</v>
      </c>
      <c r="BN33" s="1">
        <v>0.0028</v>
      </c>
      <c r="BO33" s="1" t="s">
        <v>96</v>
      </c>
      <c r="BP33" s="1">
        <v>0.017</v>
      </c>
      <c r="BQ33" s="1" t="s">
        <v>96</v>
      </c>
      <c r="BR33" s="1">
        <v>0.0029</v>
      </c>
      <c r="BS33" s="1">
        <v>0.0116</v>
      </c>
      <c r="BT33" s="1">
        <v>0.0036</v>
      </c>
      <c r="BU33" s="1" t="s">
        <v>96</v>
      </c>
      <c r="BV33" s="1">
        <v>0.005</v>
      </c>
      <c r="BW33" s="1" t="s">
        <v>96</v>
      </c>
      <c r="BX33" s="1">
        <v>0.0041</v>
      </c>
      <c r="BY33" s="1" t="s">
        <v>96</v>
      </c>
      <c r="BZ33" s="1">
        <v>0.0013</v>
      </c>
      <c r="CA33" s="1">
        <v>0.0592</v>
      </c>
      <c r="CB33" s="1">
        <v>0.0127</v>
      </c>
      <c r="CC33" s="1" t="s">
        <v>96</v>
      </c>
      <c r="CD33" s="1">
        <v>0.0029</v>
      </c>
      <c r="CE33" s="1"/>
      <c r="CF33" s="1"/>
      <c r="CG33" s="1" t="s">
        <v>96</v>
      </c>
      <c r="CH33" s="1">
        <v>2.0E-4</v>
      </c>
      <c r="CI33" s="1"/>
      <c r="CJ33" s="1"/>
      <c r="CK33" s="1" t="s">
        <v>96</v>
      </c>
      <c r="CL33" s="1">
        <v>0.0021</v>
      </c>
      <c r="CM33" s="1">
        <v>0.0039</v>
      </c>
      <c r="CN33" s="1">
        <v>0.0021</v>
      </c>
      <c r="CO33" s="1">
        <v>0.0035</v>
      </c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 ht="14.25" customHeight="1">
      <c r="A34" s="1" t="s">
        <v>142</v>
      </c>
      <c r="B34" s="1">
        <v>1139891.0</v>
      </c>
      <c r="C34" s="3">
        <v>279.269043</v>
      </c>
      <c r="D34" s="3">
        <v>718071.92604</v>
      </c>
      <c r="E34" s="3">
        <v>5985969.440459</v>
      </c>
      <c r="F34" s="3"/>
      <c r="G34" s="3"/>
      <c r="H34" s="1" t="s">
        <v>108</v>
      </c>
      <c r="I34" s="1" t="s">
        <v>95</v>
      </c>
      <c r="J34" s="1"/>
      <c r="K34" s="1"/>
      <c r="L34" s="1"/>
      <c r="M34" s="2" t="s">
        <v>143</v>
      </c>
      <c r="N34" s="2" t="s">
        <v>135</v>
      </c>
      <c r="O34" s="1" t="s">
        <v>123</v>
      </c>
      <c r="P34" s="1"/>
      <c r="Q34" s="1"/>
      <c r="R34" s="1">
        <v>5.9164</v>
      </c>
      <c r="S34" s="1">
        <v>0.1417</v>
      </c>
      <c r="T34" s="1">
        <v>15.7114</v>
      </c>
      <c r="U34" s="1">
        <v>0.1364</v>
      </c>
      <c r="V34" s="1" t="s">
        <v>96</v>
      </c>
      <c r="W34" s="1">
        <v>1.205</v>
      </c>
      <c r="X34" s="1">
        <v>2.9605</v>
      </c>
      <c r="Y34" s="1">
        <v>0.8683</v>
      </c>
      <c r="Z34" s="1">
        <v>0.1774</v>
      </c>
      <c r="AA34" s="1">
        <v>0.0831</v>
      </c>
      <c r="AB34" s="1">
        <v>0.0677</v>
      </c>
      <c r="AC34" s="1">
        <v>0.0408</v>
      </c>
      <c r="AD34" s="1" t="s">
        <v>96</v>
      </c>
      <c r="AE34" s="1">
        <v>0.0097</v>
      </c>
      <c r="AF34" s="1"/>
      <c r="AG34" s="1"/>
      <c r="AH34" s="1">
        <v>0.0155</v>
      </c>
      <c r="AI34" s="1">
        <v>0.011</v>
      </c>
      <c r="AJ34" s="1">
        <v>0.5842</v>
      </c>
      <c r="AK34" s="1">
        <v>0.0276</v>
      </c>
      <c r="AL34" s="1" t="s">
        <v>96</v>
      </c>
      <c r="AM34" s="1">
        <v>0.0075</v>
      </c>
      <c r="AN34" s="1" t="s">
        <v>96</v>
      </c>
      <c r="AO34" s="1">
        <v>0.0025</v>
      </c>
      <c r="AP34" s="1"/>
      <c r="AQ34" s="1"/>
      <c r="AR34" s="1">
        <v>0.0031</v>
      </c>
      <c r="AS34" s="1">
        <v>0.0013</v>
      </c>
      <c r="AT34" s="1">
        <v>0.0052</v>
      </c>
      <c r="AU34" s="1">
        <v>0.0041</v>
      </c>
      <c r="AV34" s="1" t="s">
        <v>96</v>
      </c>
      <c r="AW34" s="1">
        <v>0.0054</v>
      </c>
      <c r="AX34" s="1" t="s">
        <v>96</v>
      </c>
      <c r="AY34" s="1">
        <v>4.0E-4</v>
      </c>
      <c r="AZ34" s="1">
        <v>0.0216</v>
      </c>
      <c r="BA34" s="1">
        <v>0.0016</v>
      </c>
      <c r="BB34" s="1">
        <v>0.0055</v>
      </c>
      <c r="BC34" s="1">
        <v>8.0E-4</v>
      </c>
      <c r="BD34" s="1">
        <v>0.0033</v>
      </c>
      <c r="BE34" s="1">
        <f t="shared" si="1"/>
        <v>33</v>
      </c>
      <c r="BF34" s="3">
        <f t="shared" si="2"/>
        <v>37.95</v>
      </c>
      <c r="BG34" s="1">
        <v>5.0E-4</v>
      </c>
      <c r="BH34" s="1"/>
      <c r="BI34" s="1">
        <v>0.0053</v>
      </c>
      <c r="BJ34" s="1">
        <v>8.0E-4</v>
      </c>
      <c r="BK34" s="1">
        <v>0.0227</v>
      </c>
      <c r="BL34" s="1">
        <v>0.0051</v>
      </c>
      <c r="BM34" s="1" t="s">
        <v>96</v>
      </c>
      <c r="BN34" s="1">
        <v>0.0031</v>
      </c>
      <c r="BO34" s="1" t="s">
        <v>96</v>
      </c>
      <c r="BP34" s="1">
        <v>0.0216</v>
      </c>
      <c r="BQ34" s="1" t="s">
        <v>96</v>
      </c>
      <c r="BR34" s="1">
        <v>0.0029</v>
      </c>
      <c r="BS34" s="1">
        <v>0.0247</v>
      </c>
      <c r="BT34" s="1">
        <v>0.0038</v>
      </c>
      <c r="BU34" s="1" t="s">
        <v>96</v>
      </c>
      <c r="BV34" s="1">
        <v>0.0052</v>
      </c>
      <c r="BW34" s="1" t="s">
        <v>96</v>
      </c>
      <c r="BX34" s="1">
        <v>0.0044</v>
      </c>
      <c r="BY34" s="1" t="s">
        <v>96</v>
      </c>
      <c r="BZ34" s="1">
        <v>0.0013</v>
      </c>
      <c r="CA34" s="1">
        <v>0.0489</v>
      </c>
      <c r="CB34" s="1">
        <v>0.0121</v>
      </c>
      <c r="CC34" s="1" t="s">
        <v>96</v>
      </c>
      <c r="CD34" s="1">
        <v>0.0024</v>
      </c>
      <c r="CE34" s="1" t="s">
        <v>96</v>
      </c>
      <c r="CF34" s="1">
        <v>0.0087</v>
      </c>
      <c r="CG34" s="1" t="s">
        <v>96</v>
      </c>
      <c r="CH34" s="1">
        <v>2.0E-4</v>
      </c>
      <c r="CI34" s="1"/>
      <c r="CJ34" s="1"/>
      <c r="CK34" s="1">
        <v>0.0069</v>
      </c>
      <c r="CL34" s="1">
        <v>0.0027</v>
      </c>
      <c r="CM34" s="1" t="s">
        <v>96</v>
      </c>
      <c r="CN34" s="1">
        <v>0.0019</v>
      </c>
      <c r="CO34" s="1">
        <v>0.0027</v>
      </c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 ht="14.25" customHeight="1">
      <c r="A35" s="1" t="s">
        <v>144</v>
      </c>
      <c r="B35" s="1">
        <v>1139892.0</v>
      </c>
      <c r="C35" s="3">
        <v>245.641968</v>
      </c>
      <c r="D35" s="3">
        <v>714882.379247</v>
      </c>
      <c r="E35" s="3">
        <v>5987111.938027</v>
      </c>
      <c r="F35" s="3"/>
      <c r="G35" s="3"/>
      <c r="H35" s="1"/>
      <c r="I35" s="1" t="s">
        <v>95</v>
      </c>
      <c r="J35" s="1"/>
      <c r="K35" s="1"/>
      <c r="L35" s="1"/>
      <c r="M35" s="2"/>
      <c r="N35" s="2" t="s">
        <v>135</v>
      </c>
      <c r="O35" s="1" t="s">
        <v>115</v>
      </c>
      <c r="P35" s="1"/>
      <c r="Q35" s="1"/>
      <c r="R35" s="1">
        <v>11.0951</v>
      </c>
      <c r="S35" s="1">
        <v>0.2769</v>
      </c>
      <c r="T35" s="1">
        <v>18.7996</v>
      </c>
      <c r="U35" s="1">
        <v>0.224</v>
      </c>
      <c r="V35" s="1" t="s">
        <v>96</v>
      </c>
      <c r="W35" s="1">
        <v>1.0908</v>
      </c>
      <c r="X35" s="1">
        <v>1.4035</v>
      </c>
      <c r="Y35" s="1">
        <v>0.6359</v>
      </c>
      <c r="Z35" s="1">
        <v>0.1033</v>
      </c>
      <c r="AA35" s="1">
        <v>0.0742</v>
      </c>
      <c r="AB35" s="1">
        <v>0.349</v>
      </c>
      <c r="AC35" s="1">
        <v>0.0743</v>
      </c>
      <c r="AD35" s="1"/>
      <c r="AE35" s="1"/>
      <c r="AF35" s="1"/>
      <c r="AG35" s="1"/>
      <c r="AH35" s="1">
        <v>0.0451</v>
      </c>
      <c r="AI35" s="1">
        <v>0.0171</v>
      </c>
      <c r="AJ35" s="1">
        <v>2.9957</v>
      </c>
      <c r="AK35" s="1">
        <v>0.0649</v>
      </c>
      <c r="AL35" s="1" t="s">
        <v>96</v>
      </c>
      <c r="AM35" s="1">
        <v>0.0175</v>
      </c>
      <c r="AN35" s="1" t="s">
        <v>96</v>
      </c>
      <c r="AO35" s="1">
        <v>0.0033</v>
      </c>
      <c r="AP35" s="1">
        <v>0.0069</v>
      </c>
      <c r="AQ35" s="1">
        <v>0.0015</v>
      </c>
      <c r="AR35" s="1">
        <v>0.0054</v>
      </c>
      <c r="AS35" s="1">
        <v>0.0017</v>
      </c>
      <c r="AT35" s="1">
        <v>0.0061</v>
      </c>
      <c r="AU35" s="1">
        <v>0.0047</v>
      </c>
      <c r="AV35" s="1" t="s">
        <v>96</v>
      </c>
      <c r="AW35" s="1">
        <v>0.0046</v>
      </c>
      <c r="AX35" s="1" t="s">
        <v>96</v>
      </c>
      <c r="AY35" s="1">
        <v>4.0E-4</v>
      </c>
      <c r="AZ35" s="1">
        <v>0.0102</v>
      </c>
      <c r="BA35" s="1">
        <v>0.0011</v>
      </c>
      <c r="BB35" s="1">
        <v>0.0031</v>
      </c>
      <c r="BC35" s="1">
        <v>7.0E-4</v>
      </c>
      <c r="BD35" s="1">
        <v>0.0037</v>
      </c>
      <c r="BE35" s="1">
        <f t="shared" si="1"/>
        <v>37</v>
      </c>
      <c r="BF35" s="3">
        <f t="shared" si="2"/>
        <v>42.55</v>
      </c>
      <c r="BG35" s="1">
        <v>5.0E-4</v>
      </c>
      <c r="BH35" s="1"/>
      <c r="BI35" s="1">
        <v>0.0197</v>
      </c>
      <c r="BJ35" s="1">
        <v>0.0012</v>
      </c>
      <c r="BK35" s="1" t="s">
        <v>96</v>
      </c>
      <c r="BL35" s="1">
        <v>0.0047</v>
      </c>
      <c r="BM35" s="1" t="s">
        <v>96</v>
      </c>
      <c r="BN35" s="1">
        <v>0.003</v>
      </c>
      <c r="BO35" s="1" t="s">
        <v>96</v>
      </c>
      <c r="BP35" s="1">
        <v>0.0181</v>
      </c>
      <c r="BQ35" s="1" t="s">
        <v>96</v>
      </c>
      <c r="BR35" s="1">
        <v>0.0025</v>
      </c>
      <c r="BS35" s="1"/>
      <c r="BT35" s="1"/>
      <c r="BU35" s="1" t="s">
        <v>96</v>
      </c>
      <c r="BV35" s="1">
        <v>0.0044</v>
      </c>
      <c r="BW35" s="1" t="s">
        <v>96</v>
      </c>
      <c r="BX35" s="1">
        <v>0.0037</v>
      </c>
      <c r="BY35" s="1" t="s">
        <v>96</v>
      </c>
      <c r="BZ35" s="1">
        <v>0.0011</v>
      </c>
      <c r="CA35" s="1">
        <v>0.0786</v>
      </c>
      <c r="CB35" s="1">
        <v>0.0115</v>
      </c>
      <c r="CC35" s="1" t="s">
        <v>96</v>
      </c>
      <c r="CD35" s="1">
        <v>0.0023</v>
      </c>
      <c r="CE35" s="1" t="s">
        <v>96</v>
      </c>
      <c r="CF35" s="1">
        <v>0.0079</v>
      </c>
      <c r="CG35" s="1" t="s">
        <v>96</v>
      </c>
      <c r="CH35" s="1">
        <v>2.0E-4</v>
      </c>
      <c r="CI35" s="1"/>
      <c r="CJ35" s="1"/>
      <c r="CK35" s="1">
        <v>0.0036</v>
      </c>
      <c r="CL35" s="1">
        <v>0.0022</v>
      </c>
      <c r="CM35" s="1">
        <v>0.0045</v>
      </c>
      <c r="CN35" s="1">
        <v>0.002</v>
      </c>
      <c r="CO35" s="1">
        <v>0.0012</v>
      </c>
      <c r="CP35" s="1"/>
      <c r="CQ35" s="1"/>
      <c r="CR35" s="1"/>
      <c r="CS35" s="1"/>
      <c r="CT35" s="1"/>
      <c r="CU35" s="1"/>
      <c r="CV35" s="1"/>
      <c r="CW35" s="1"/>
      <c r="CX35" s="1"/>
      <c r="CY35" s="1"/>
    </row>
    <row r="36" ht="14.25" customHeight="1">
      <c r="A36" s="1" t="s">
        <v>145</v>
      </c>
      <c r="B36" s="1">
        <v>1139893.0</v>
      </c>
      <c r="C36" s="3">
        <v>266.148621</v>
      </c>
      <c r="D36" s="3">
        <v>715168.82628</v>
      </c>
      <c r="E36" s="3">
        <v>5988715.325997</v>
      </c>
      <c r="F36" s="4">
        <v>0.0</v>
      </c>
      <c r="G36" s="4">
        <v>1.0</v>
      </c>
      <c r="H36" s="1" t="s">
        <v>98</v>
      </c>
      <c r="I36" s="1" t="s">
        <v>146</v>
      </c>
      <c r="J36" s="1"/>
      <c r="K36" s="1"/>
      <c r="L36" s="1"/>
      <c r="M36" s="2"/>
      <c r="N36" s="2" t="s">
        <v>135</v>
      </c>
      <c r="O36" s="1" t="s">
        <v>123</v>
      </c>
      <c r="P36" s="1"/>
      <c r="Q36" s="1"/>
      <c r="R36" s="1">
        <v>7.4026</v>
      </c>
      <c r="S36" s="1">
        <v>0.2223</v>
      </c>
      <c r="T36" s="1">
        <v>17.6934</v>
      </c>
      <c r="U36" s="1">
        <v>0.1972</v>
      </c>
      <c r="V36" s="1" t="s">
        <v>96</v>
      </c>
      <c r="W36" s="1">
        <v>1.1423</v>
      </c>
      <c r="X36" s="1">
        <v>1.2745</v>
      </c>
      <c r="Y36" s="1">
        <v>0.6411</v>
      </c>
      <c r="Z36" s="1">
        <v>0.2913</v>
      </c>
      <c r="AA36" s="1">
        <v>0.1024</v>
      </c>
      <c r="AB36" s="1">
        <v>0.5291</v>
      </c>
      <c r="AC36" s="1">
        <v>0.0849</v>
      </c>
      <c r="AD36" s="1">
        <v>0.022</v>
      </c>
      <c r="AE36" s="1">
        <v>0.0173</v>
      </c>
      <c r="AF36" s="1"/>
      <c r="AG36" s="1"/>
      <c r="AH36" s="1">
        <v>0.0732</v>
      </c>
      <c r="AI36" s="1">
        <v>0.0197</v>
      </c>
      <c r="AJ36" s="1">
        <v>4.4682</v>
      </c>
      <c r="AK36" s="1">
        <v>0.0847</v>
      </c>
      <c r="AL36" s="1" t="s">
        <v>96</v>
      </c>
      <c r="AM36" s="1">
        <v>0.0201</v>
      </c>
      <c r="AN36" s="1" t="s">
        <v>96</v>
      </c>
      <c r="AO36" s="1">
        <v>0.0037</v>
      </c>
      <c r="AP36" s="1">
        <v>0.0096</v>
      </c>
      <c r="AQ36" s="1">
        <v>0.0018</v>
      </c>
      <c r="AR36" s="1">
        <v>0.0065</v>
      </c>
      <c r="AS36" s="1">
        <v>0.002</v>
      </c>
      <c r="AT36" s="1" t="s">
        <v>96</v>
      </c>
      <c r="AU36" s="1">
        <v>0.0041</v>
      </c>
      <c r="AV36" s="1" t="s">
        <v>96</v>
      </c>
      <c r="AW36" s="1">
        <v>0.0051</v>
      </c>
      <c r="AX36" s="1" t="s">
        <v>96</v>
      </c>
      <c r="AY36" s="1">
        <v>5.0E-4</v>
      </c>
      <c r="AZ36" s="1">
        <v>0.0113</v>
      </c>
      <c r="BA36" s="1">
        <v>0.0012</v>
      </c>
      <c r="BB36" s="1">
        <v>0.0026</v>
      </c>
      <c r="BC36" s="1">
        <v>6.0E-4</v>
      </c>
      <c r="BD36" s="1">
        <v>0.0023</v>
      </c>
      <c r="BE36" s="1">
        <f t="shared" si="1"/>
        <v>23</v>
      </c>
      <c r="BF36" s="3">
        <f t="shared" si="2"/>
        <v>26.45</v>
      </c>
      <c r="BG36" s="1">
        <v>4.0E-4</v>
      </c>
      <c r="BH36" s="1"/>
      <c r="BI36" s="1">
        <v>0.0099</v>
      </c>
      <c r="BJ36" s="1">
        <v>9.0E-4</v>
      </c>
      <c r="BK36" s="1" t="s">
        <v>96</v>
      </c>
      <c r="BL36" s="1">
        <v>0.0045</v>
      </c>
      <c r="BM36" s="1" t="s">
        <v>96</v>
      </c>
      <c r="BN36" s="1">
        <v>0.0028</v>
      </c>
      <c r="BO36" s="1" t="s">
        <v>96</v>
      </c>
      <c r="BP36" s="1">
        <v>0.0165</v>
      </c>
      <c r="BQ36" s="1" t="s">
        <v>96</v>
      </c>
      <c r="BR36" s="1">
        <v>0.0027</v>
      </c>
      <c r="BS36" s="1">
        <v>0.0054</v>
      </c>
      <c r="BT36" s="1">
        <v>0.0034</v>
      </c>
      <c r="BU36" s="1" t="s">
        <v>96</v>
      </c>
      <c r="BV36" s="1">
        <v>0.0047</v>
      </c>
      <c r="BW36" s="1" t="s">
        <v>96</v>
      </c>
      <c r="BX36" s="1">
        <v>0.0038</v>
      </c>
      <c r="BY36" s="1" t="s">
        <v>96</v>
      </c>
      <c r="BZ36" s="1">
        <v>0.0012</v>
      </c>
      <c r="CA36" s="1">
        <v>0.0339</v>
      </c>
      <c r="CB36" s="1">
        <v>0.0115</v>
      </c>
      <c r="CC36" s="1" t="s">
        <v>96</v>
      </c>
      <c r="CD36" s="1">
        <v>0.0028</v>
      </c>
      <c r="CE36" s="1"/>
      <c r="CF36" s="1"/>
      <c r="CG36" s="1" t="s">
        <v>96</v>
      </c>
      <c r="CH36" s="1">
        <v>2.0E-4</v>
      </c>
      <c r="CI36" s="1" t="s">
        <v>96</v>
      </c>
      <c r="CJ36" s="1">
        <v>0.0014</v>
      </c>
      <c r="CK36" s="1" t="s">
        <v>96</v>
      </c>
      <c r="CL36" s="1">
        <v>0.002</v>
      </c>
      <c r="CM36" s="1" t="s">
        <v>96</v>
      </c>
      <c r="CN36" s="1">
        <v>0.0018</v>
      </c>
      <c r="CO36" s="1">
        <v>0.0017</v>
      </c>
      <c r="CP36" s="1"/>
      <c r="CQ36" s="1"/>
      <c r="CR36" s="1"/>
      <c r="CS36" s="1"/>
      <c r="CT36" s="1"/>
      <c r="CU36" s="1"/>
      <c r="CV36" s="1"/>
      <c r="CW36" s="1"/>
      <c r="CX36" s="1"/>
      <c r="CY36" s="1"/>
    </row>
    <row r="37" ht="14.25" customHeight="1">
      <c r="A37" s="1" t="s">
        <v>145</v>
      </c>
      <c r="B37" s="1">
        <v>1139894.0</v>
      </c>
      <c r="C37" s="3">
        <v>266.148621</v>
      </c>
      <c r="D37" s="3">
        <v>715168.82628</v>
      </c>
      <c r="E37" s="3">
        <v>5988715.325997</v>
      </c>
      <c r="F37" s="4">
        <v>1.0</v>
      </c>
      <c r="G37" s="4">
        <v>2.0</v>
      </c>
      <c r="H37" s="1" t="s">
        <v>147</v>
      </c>
      <c r="I37" s="1" t="s">
        <v>146</v>
      </c>
      <c r="J37" s="1"/>
      <c r="K37" s="1"/>
      <c r="L37" s="1"/>
      <c r="M37" s="2"/>
      <c r="N37" s="2" t="s">
        <v>135</v>
      </c>
      <c r="O37" s="1" t="s">
        <v>123</v>
      </c>
      <c r="P37" s="1"/>
      <c r="Q37" s="1"/>
      <c r="R37" s="1">
        <v>7.7285</v>
      </c>
      <c r="S37" s="1">
        <v>0.2292</v>
      </c>
      <c r="T37" s="1">
        <v>17.1824</v>
      </c>
      <c r="U37" s="1">
        <v>0.1976</v>
      </c>
      <c r="V37" s="1" t="s">
        <v>96</v>
      </c>
      <c r="W37" s="1">
        <v>1.0819</v>
      </c>
      <c r="X37" s="1">
        <v>1.0938</v>
      </c>
      <c r="Y37" s="1">
        <v>0.587</v>
      </c>
      <c r="Z37" s="1">
        <v>0.9403</v>
      </c>
      <c r="AA37" s="1">
        <v>0.1674</v>
      </c>
      <c r="AB37" s="1">
        <v>0.4334</v>
      </c>
      <c r="AC37" s="1">
        <v>0.0781</v>
      </c>
      <c r="AD37" s="1">
        <v>0.0188</v>
      </c>
      <c r="AE37" s="1">
        <v>0.0161</v>
      </c>
      <c r="AF37" s="1"/>
      <c r="AG37" s="1"/>
      <c r="AH37" s="1">
        <v>0.1056</v>
      </c>
      <c r="AI37" s="1">
        <v>0.0229</v>
      </c>
      <c r="AJ37" s="1">
        <v>4.5947</v>
      </c>
      <c r="AK37" s="1">
        <v>0.0864</v>
      </c>
      <c r="AL37" s="1" t="s">
        <v>96</v>
      </c>
      <c r="AM37" s="1">
        <v>0.0204</v>
      </c>
      <c r="AN37" s="1" t="s">
        <v>96</v>
      </c>
      <c r="AO37" s="1">
        <v>0.0041</v>
      </c>
      <c r="AP37" s="1">
        <v>0.0092</v>
      </c>
      <c r="AQ37" s="1">
        <v>0.002</v>
      </c>
      <c r="AR37" s="1">
        <v>0.0067</v>
      </c>
      <c r="AS37" s="1">
        <v>0.002</v>
      </c>
      <c r="AT37" s="1" t="s">
        <v>96</v>
      </c>
      <c r="AU37" s="1">
        <v>0.004</v>
      </c>
      <c r="AV37" s="1" t="s">
        <v>96</v>
      </c>
      <c r="AW37" s="1">
        <v>0.0051</v>
      </c>
      <c r="AX37" s="1" t="s">
        <v>96</v>
      </c>
      <c r="AY37" s="1">
        <v>4.0E-4</v>
      </c>
      <c r="AZ37" s="1">
        <v>0.0072</v>
      </c>
      <c r="BA37" s="1">
        <v>0.001</v>
      </c>
      <c r="BB37" s="1">
        <v>0.0013</v>
      </c>
      <c r="BC37" s="1">
        <v>6.0E-4</v>
      </c>
      <c r="BD37" s="1">
        <v>0.0021</v>
      </c>
      <c r="BE37" s="1">
        <f t="shared" si="1"/>
        <v>21</v>
      </c>
      <c r="BF37" s="3">
        <f t="shared" si="2"/>
        <v>24.15</v>
      </c>
      <c r="BG37" s="1">
        <v>4.0E-4</v>
      </c>
      <c r="BH37" s="1"/>
      <c r="BI37" s="1">
        <v>0.0059</v>
      </c>
      <c r="BJ37" s="1">
        <v>8.0E-4</v>
      </c>
      <c r="BK37" s="1">
        <v>0.0099</v>
      </c>
      <c r="BL37" s="1">
        <v>0.0045</v>
      </c>
      <c r="BM37" s="1" t="s">
        <v>96</v>
      </c>
      <c r="BN37" s="1">
        <v>0.0028</v>
      </c>
      <c r="BO37" s="1" t="s">
        <v>96</v>
      </c>
      <c r="BP37" s="1">
        <v>0.0166</v>
      </c>
      <c r="BQ37" s="1" t="s">
        <v>96</v>
      </c>
      <c r="BR37" s="1">
        <v>0.0027</v>
      </c>
      <c r="BS37" s="1">
        <v>0.008</v>
      </c>
      <c r="BT37" s="1">
        <v>0.0034</v>
      </c>
      <c r="BU37" s="1" t="s">
        <v>96</v>
      </c>
      <c r="BV37" s="1">
        <v>0.0048</v>
      </c>
      <c r="BW37" s="1" t="s">
        <v>96</v>
      </c>
      <c r="BX37" s="1">
        <v>0.0037</v>
      </c>
      <c r="BY37" s="1" t="s">
        <v>96</v>
      </c>
      <c r="BZ37" s="1">
        <v>0.0012</v>
      </c>
      <c r="CA37" s="1">
        <v>0.026</v>
      </c>
      <c r="CB37" s="1">
        <v>0.0116</v>
      </c>
      <c r="CC37" s="1" t="s">
        <v>96</v>
      </c>
      <c r="CD37" s="1">
        <v>0.0029</v>
      </c>
      <c r="CE37" s="1"/>
      <c r="CF37" s="1"/>
      <c r="CG37" s="1" t="s">
        <v>96</v>
      </c>
      <c r="CH37" s="1">
        <v>2.0E-4</v>
      </c>
      <c r="CI37" s="1"/>
      <c r="CJ37" s="1"/>
      <c r="CK37" s="1" t="s">
        <v>96</v>
      </c>
      <c r="CL37" s="1">
        <v>0.0021</v>
      </c>
      <c r="CM37" s="1" t="s">
        <v>96</v>
      </c>
      <c r="CN37" s="1">
        <v>0.0017</v>
      </c>
      <c r="CO37" s="1">
        <v>9.0E-4</v>
      </c>
      <c r="CP37" s="1"/>
      <c r="CQ37" s="1"/>
      <c r="CR37" s="1"/>
      <c r="CS37" s="1"/>
      <c r="CT37" s="1"/>
      <c r="CU37" s="1"/>
      <c r="CV37" s="1"/>
      <c r="CW37" s="1"/>
      <c r="CX37" s="1"/>
      <c r="CY37" s="1"/>
    </row>
    <row r="38" ht="14.25" customHeight="1">
      <c r="A38" s="1" t="s">
        <v>145</v>
      </c>
      <c r="B38" s="1">
        <v>1139895.0</v>
      </c>
      <c r="C38" s="3">
        <v>266.148621</v>
      </c>
      <c r="D38" s="3">
        <v>715168.82628</v>
      </c>
      <c r="E38" s="3">
        <v>5988715.325997</v>
      </c>
      <c r="F38" s="4">
        <v>2.0</v>
      </c>
      <c r="G38" s="4">
        <v>3.0</v>
      </c>
      <c r="H38" s="1" t="s">
        <v>108</v>
      </c>
      <c r="I38" s="1" t="s">
        <v>146</v>
      </c>
      <c r="J38" s="1"/>
      <c r="K38" s="1"/>
      <c r="L38" s="1"/>
      <c r="M38" s="2"/>
      <c r="N38" s="2" t="s">
        <v>135</v>
      </c>
      <c r="O38" s="1" t="s">
        <v>123</v>
      </c>
      <c r="P38" s="1"/>
      <c r="Q38" s="1"/>
      <c r="R38" s="1">
        <v>8.6259</v>
      </c>
      <c r="S38" s="1">
        <v>0.2612</v>
      </c>
      <c r="T38" s="1">
        <v>18.1339</v>
      </c>
      <c r="U38" s="1">
        <v>0.2204</v>
      </c>
      <c r="V38" s="1" t="s">
        <v>96</v>
      </c>
      <c r="W38" s="1">
        <v>1.1277</v>
      </c>
      <c r="X38" s="1">
        <v>1.6047</v>
      </c>
      <c r="Y38" s="1">
        <v>0.6392</v>
      </c>
      <c r="Z38" s="1">
        <v>0.4646</v>
      </c>
      <c r="AA38" s="1">
        <v>0.1229</v>
      </c>
      <c r="AB38" s="1">
        <v>0.5401</v>
      </c>
      <c r="AC38" s="1">
        <v>0.0844</v>
      </c>
      <c r="AD38" s="1">
        <v>0.0285</v>
      </c>
      <c r="AE38" s="1">
        <v>0.0173</v>
      </c>
      <c r="AF38" s="1"/>
      <c r="AG38" s="1"/>
      <c r="AH38" s="1">
        <v>0.1082</v>
      </c>
      <c r="AI38" s="1">
        <v>0.0226</v>
      </c>
      <c r="AJ38" s="1">
        <v>5.0684</v>
      </c>
      <c r="AK38" s="1">
        <v>0.0936</v>
      </c>
      <c r="AL38" s="1" t="s">
        <v>96</v>
      </c>
      <c r="AM38" s="1">
        <v>0.0214</v>
      </c>
      <c r="AN38" s="1" t="s">
        <v>96</v>
      </c>
      <c r="AO38" s="1">
        <v>0.0037</v>
      </c>
      <c r="AP38" s="1">
        <v>0.0127</v>
      </c>
      <c r="AQ38" s="1">
        <v>0.0018</v>
      </c>
      <c r="AR38" s="1">
        <v>0.0087</v>
      </c>
      <c r="AS38" s="1">
        <v>0.0023</v>
      </c>
      <c r="AT38" s="1" t="s">
        <v>96</v>
      </c>
      <c r="AU38" s="1">
        <v>0.0039</v>
      </c>
      <c r="AV38" s="1" t="s">
        <v>96</v>
      </c>
      <c r="AW38" s="1">
        <v>0.0056</v>
      </c>
      <c r="AX38" s="1" t="s">
        <v>96</v>
      </c>
      <c r="AY38" s="1">
        <v>5.0E-4</v>
      </c>
      <c r="AZ38" s="1">
        <v>0.013</v>
      </c>
      <c r="BA38" s="1">
        <v>0.0013</v>
      </c>
      <c r="BB38" s="1">
        <v>0.0012</v>
      </c>
      <c r="BC38" s="1">
        <v>6.0E-4</v>
      </c>
      <c r="BD38" s="1">
        <v>0.0032</v>
      </c>
      <c r="BE38" s="1">
        <f t="shared" si="1"/>
        <v>32</v>
      </c>
      <c r="BF38" s="3">
        <f t="shared" si="2"/>
        <v>36.8</v>
      </c>
      <c r="BG38" s="1">
        <v>5.0E-4</v>
      </c>
      <c r="BH38" s="1"/>
      <c r="BI38" s="1">
        <v>0.0029</v>
      </c>
      <c r="BJ38" s="1">
        <v>7.0E-4</v>
      </c>
      <c r="BK38" s="1">
        <v>0.0173</v>
      </c>
      <c r="BL38" s="1">
        <v>0.0044</v>
      </c>
      <c r="BM38" s="1" t="s">
        <v>96</v>
      </c>
      <c r="BN38" s="1">
        <v>0.0027</v>
      </c>
      <c r="BO38" s="1" t="s">
        <v>96</v>
      </c>
      <c r="BP38" s="1">
        <v>0.0156</v>
      </c>
      <c r="BQ38" s="1" t="s">
        <v>96</v>
      </c>
      <c r="BR38" s="1">
        <v>0.0028</v>
      </c>
      <c r="BS38" s="1">
        <v>0.0073</v>
      </c>
      <c r="BT38" s="1">
        <v>0.0035</v>
      </c>
      <c r="BU38" s="1" t="s">
        <v>96</v>
      </c>
      <c r="BV38" s="1">
        <v>0.005</v>
      </c>
      <c r="BW38" s="1" t="s">
        <v>96</v>
      </c>
      <c r="BX38" s="1">
        <v>0.0039</v>
      </c>
      <c r="BY38" s="1" t="s">
        <v>96</v>
      </c>
      <c r="BZ38" s="1">
        <v>0.0013</v>
      </c>
      <c r="CA38" s="1">
        <v>0.0235</v>
      </c>
      <c r="CB38" s="1">
        <v>0.0121</v>
      </c>
      <c r="CC38" s="1" t="s">
        <v>96</v>
      </c>
      <c r="CD38" s="1">
        <v>0.003</v>
      </c>
      <c r="CE38" s="1" t="s">
        <v>96</v>
      </c>
      <c r="CF38" s="1">
        <v>0.0076</v>
      </c>
      <c r="CG38" s="1" t="s">
        <v>96</v>
      </c>
      <c r="CH38" s="1">
        <v>2.0E-4</v>
      </c>
      <c r="CI38" s="1"/>
      <c r="CJ38" s="1"/>
      <c r="CK38" s="1" t="s">
        <v>96</v>
      </c>
      <c r="CL38" s="1">
        <v>0.0022</v>
      </c>
      <c r="CM38" s="1" t="s">
        <v>96</v>
      </c>
      <c r="CN38" s="1">
        <v>0.0019</v>
      </c>
      <c r="CO38" s="1">
        <v>0.0017</v>
      </c>
      <c r="CP38" s="1"/>
      <c r="CQ38" s="1"/>
      <c r="CR38" s="1"/>
      <c r="CS38" s="1"/>
      <c r="CT38" s="1"/>
      <c r="CU38" s="1"/>
      <c r="CV38" s="1"/>
      <c r="CW38" s="1"/>
      <c r="CX38" s="1"/>
      <c r="CY38" s="1"/>
    </row>
    <row r="39" ht="14.25" customHeight="1">
      <c r="A39" s="1" t="s">
        <v>148</v>
      </c>
      <c r="B39" s="1">
        <v>1139896.0</v>
      </c>
      <c r="C39" s="3">
        <v>263.940308</v>
      </c>
      <c r="D39" s="3">
        <v>715132.323523</v>
      </c>
      <c r="E39" s="3">
        <v>5988701.458732</v>
      </c>
      <c r="F39" s="4">
        <v>0.0</v>
      </c>
      <c r="G39" s="4">
        <v>1.0</v>
      </c>
      <c r="H39" s="1" t="s">
        <v>98</v>
      </c>
      <c r="I39" s="1" t="s">
        <v>146</v>
      </c>
      <c r="J39" s="1"/>
      <c r="K39" s="1"/>
      <c r="L39" s="1"/>
      <c r="M39" s="2"/>
      <c r="N39" s="2" t="s">
        <v>135</v>
      </c>
      <c r="O39" s="1" t="s">
        <v>123</v>
      </c>
      <c r="P39" s="1"/>
      <c r="Q39" s="1"/>
      <c r="R39" s="1">
        <v>5.6533</v>
      </c>
      <c r="S39" s="1">
        <v>0.1623</v>
      </c>
      <c r="T39" s="1">
        <v>12.5046</v>
      </c>
      <c r="U39" s="1">
        <v>0.1348</v>
      </c>
      <c r="V39" s="1" t="s">
        <v>96</v>
      </c>
      <c r="W39" s="1">
        <v>1.1456</v>
      </c>
      <c r="X39" s="1">
        <v>0.6691</v>
      </c>
      <c r="Y39" s="1">
        <v>0.5276</v>
      </c>
      <c r="Z39" s="1">
        <v>0.3415</v>
      </c>
      <c r="AA39" s="1">
        <v>0.1068</v>
      </c>
      <c r="AB39" s="1">
        <v>0.6949</v>
      </c>
      <c r="AC39" s="1">
        <v>0.0952</v>
      </c>
      <c r="AD39" s="1">
        <v>0.0286</v>
      </c>
      <c r="AE39" s="1">
        <v>0.0186</v>
      </c>
      <c r="AF39" s="1"/>
      <c r="AG39" s="1"/>
      <c r="AH39" s="1">
        <v>0.0465</v>
      </c>
      <c r="AI39" s="1">
        <v>0.0173</v>
      </c>
      <c r="AJ39" s="1">
        <v>4.7974</v>
      </c>
      <c r="AK39" s="1">
        <v>0.0891</v>
      </c>
      <c r="AL39" s="1" t="s">
        <v>96</v>
      </c>
      <c r="AM39" s="1">
        <v>0.0207</v>
      </c>
      <c r="AN39" s="1" t="s">
        <v>96</v>
      </c>
      <c r="AO39" s="1">
        <v>0.0037</v>
      </c>
      <c r="AP39" s="1">
        <v>0.0109</v>
      </c>
      <c r="AQ39" s="1">
        <v>0.0019</v>
      </c>
      <c r="AR39" s="1">
        <v>0.0064</v>
      </c>
      <c r="AS39" s="1">
        <v>0.002</v>
      </c>
      <c r="AT39" s="1" t="s">
        <v>96</v>
      </c>
      <c r="AU39" s="1">
        <v>0.0039</v>
      </c>
      <c r="AV39" s="1" t="s">
        <v>96</v>
      </c>
      <c r="AW39" s="1">
        <v>0.005</v>
      </c>
      <c r="AX39" s="1" t="s">
        <v>96</v>
      </c>
      <c r="AY39" s="1">
        <v>5.0E-4</v>
      </c>
      <c r="AZ39" s="1">
        <v>0.0076</v>
      </c>
      <c r="BA39" s="1">
        <v>0.001</v>
      </c>
      <c r="BB39" s="1">
        <v>0.0026</v>
      </c>
      <c r="BC39" s="1">
        <v>6.0E-4</v>
      </c>
      <c r="BD39" s="1">
        <v>0.0029</v>
      </c>
      <c r="BE39" s="1">
        <f t="shared" si="1"/>
        <v>29</v>
      </c>
      <c r="BF39" s="3">
        <f t="shared" si="2"/>
        <v>33.35</v>
      </c>
      <c r="BG39" s="1">
        <v>5.0E-4</v>
      </c>
      <c r="BH39" s="1"/>
      <c r="BI39" s="1">
        <v>0.0069</v>
      </c>
      <c r="BJ39" s="1">
        <v>8.0E-4</v>
      </c>
      <c r="BK39" s="1">
        <v>0.0053</v>
      </c>
      <c r="BL39" s="1">
        <v>0.0045</v>
      </c>
      <c r="BM39" s="1" t="s">
        <v>96</v>
      </c>
      <c r="BN39" s="1">
        <v>0.0028</v>
      </c>
      <c r="BO39" s="1" t="s">
        <v>96</v>
      </c>
      <c r="BP39" s="1">
        <v>0.0162</v>
      </c>
      <c r="BQ39" s="1" t="s">
        <v>96</v>
      </c>
      <c r="BR39" s="1">
        <v>0.0027</v>
      </c>
      <c r="BS39" s="1"/>
      <c r="BT39" s="1"/>
      <c r="BU39" s="1" t="s">
        <v>96</v>
      </c>
      <c r="BV39" s="1">
        <v>0.0047</v>
      </c>
      <c r="BW39" s="1" t="s">
        <v>96</v>
      </c>
      <c r="BX39" s="1">
        <v>0.0036</v>
      </c>
      <c r="BY39" s="1" t="s">
        <v>96</v>
      </c>
      <c r="BZ39" s="1">
        <v>0.0012</v>
      </c>
      <c r="CA39" s="1">
        <v>0.0245</v>
      </c>
      <c r="CB39" s="1">
        <v>0.0114</v>
      </c>
      <c r="CC39" s="1" t="s">
        <v>96</v>
      </c>
      <c r="CD39" s="1">
        <v>0.0028</v>
      </c>
      <c r="CE39" s="1" t="s">
        <v>96</v>
      </c>
      <c r="CF39" s="1">
        <v>0.0078</v>
      </c>
      <c r="CG39" s="1" t="s">
        <v>96</v>
      </c>
      <c r="CH39" s="1">
        <v>2.0E-4</v>
      </c>
      <c r="CI39" s="1"/>
      <c r="CJ39" s="1"/>
      <c r="CK39" s="1" t="s">
        <v>96</v>
      </c>
      <c r="CL39" s="1">
        <v>0.0019</v>
      </c>
      <c r="CM39" s="1" t="s">
        <v>96</v>
      </c>
      <c r="CN39" s="1">
        <v>0.0017</v>
      </c>
      <c r="CO39" s="1">
        <v>0.0011</v>
      </c>
      <c r="CP39" s="1"/>
      <c r="CQ39" s="1"/>
      <c r="CR39" s="1"/>
      <c r="CS39" s="1"/>
      <c r="CT39" s="1"/>
      <c r="CU39" s="1"/>
      <c r="CV39" s="1"/>
      <c r="CW39" s="1"/>
      <c r="CX39" s="1"/>
      <c r="CY39" s="1"/>
    </row>
    <row r="40" ht="14.25" customHeight="1">
      <c r="A40" s="1" t="s">
        <v>148</v>
      </c>
      <c r="B40" s="1">
        <v>1139897.0</v>
      </c>
      <c r="C40" s="3">
        <v>263.940308</v>
      </c>
      <c r="D40" s="3">
        <v>715132.323523</v>
      </c>
      <c r="E40" s="3">
        <v>5988701.458732</v>
      </c>
      <c r="F40" s="4">
        <v>1.0</v>
      </c>
      <c r="G40" s="4">
        <v>2.0</v>
      </c>
      <c r="H40" s="1" t="s">
        <v>106</v>
      </c>
      <c r="I40" s="1" t="s">
        <v>146</v>
      </c>
      <c r="J40" s="1"/>
      <c r="K40" s="1"/>
      <c r="L40" s="1"/>
      <c r="M40" s="2"/>
      <c r="N40" s="2" t="s">
        <v>135</v>
      </c>
      <c r="O40" s="1" t="s">
        <v>123</v>
      </c>
      <c r="P40" s="1"/>
      <c r="Q40" s="1"/>
      <c r="R40" s="1">
        <v>7.367</v>
      </c>
      <c r="S40" s="1">
        <v>0.2242</v>
      </c>
      <c r="T40" s="1">
        <v>13.9469</v>
      </c>
      <c r="U40" s="1">
        <v>0.1749</v>
      </c>
      <c r="V40" s="1" t="s">
        <v>96</v>
      </c>
      <c r="W40" s="1">
        <v>1.0996</v>
      </c>
      <c r="X40" s="1">
        <v>0.5967</v>
      </c>
      <c r="Y40" s="1">
        <v>0.4894</v>
      </c>
      <c r="Z40" s="1">
        <v>0.0928</v>
      </c>
      <c r="AA40" s="1">
        <v>0.0771</v>
      </c>
      <c r="AB40" s="1">
        <v>1.1068</v>
      </c>
      <c r="AC40" s="1">
        <v>0.1173</v>
      </c>
      <c r="AD40" s="1">
        <v>0.0481</v>
      </c>
      <c r="AE40" s="1">
        <v>0.0224</v>
      </c>
      <c r="AF40" s="1"/>
      <c r="AG40" s="1"/>
      <c r="AH40" s="1">
        <v>0.1387</v>
      </c>
      <c r="AI40" s="1">
        <v>0.0257</v>
      </c>
      <c r="AJ40" s="1">
        <v>6.3988</v>
      </c>
      <c r="AK40" s="1">
        <v>0.1099</v>
      </c>
      <c r="AL40" s="1" t="s">
        <v>96</v>
      </c>
      <c r="AM40" s="1">
        <v>0.0231</v>
      </c>
      <c r="AN40" s="1" t="s">
        <v>96</v>
      </c>
      <c r="AO40" s="1">
        <v>0.0044</v>
      </c>
      <c r="AP40" s="1">
        <v>0.0135</v>
      </c>
      <c r="AQ40" s="1">
        <v>0.0022</v>
      </c>
      <c r="AR40" s="1">
        <v>0.0063</v>
      </c>
      <c r="AS40" s="1">
        <v>0.0021</v>
      </c>
      <c r="AT40" s="1">
        <v>0.0046</v>
      </c>
      <c r="AU40" s="1">
        <v>0.0042</v>
      </c>
      <c r="AV40" s="1" t="s">
        <v>96</v>
      </c>
      <c r="AW40" s="1">
        <v>0.0056</v>
      </c>
      <c r="AX40" s="1" t="s">
        <v>96</v>
      </c>
      <c r="AY40" s="1">
        <v>5.0E-4</v>
      </c>
      <c r="AZ40" s="1">
        <v>0.0078</v>
      </c>
      <c r="BA40" s="1">
        <v>0.0011</v>
      </c>
      <c r="BB40" s="1">
        <v>0.0014</v>
      </c>
      <c r="BC40" s="1">
        <v>6.0E-4</v>
      </c>
      <c r="BD40" s="1">
        <v>0.003</v>
      </c>
      <c r="BE40" s="1">
        <f t="shared" si="1"/>
        <v>30</v>
      </c>
      <c r="BF40" s="3">
        <f t="shared" si="2"/>
        <v>34.5</v>
      </c>
      <c r="BG40" s="1">
        <v>5.0E-4</v>
      </c>
      <c r="BH40" s="1"/>
      <c r="BI40" s="1">
        <v>0.0181</v>
      </c>
      <c r="BJ40" s="1">
        <v>0.0012</v>
      </c>
      <c r="BK40" s="1" t="s">
        <v>96</v>
      </c>
      <c r="BL40" s="1">
        <v>0.0042</v>
      </c>
      <c r="BM40" s="1" t="s">
        <v>96</v>
      </c>
      <c r="BN40" s="1">
        <v>0.0027</v>
      </c>
      <c r="BO40" s="1" t="s">
        <v>96</v>
      </c>
      <c r="BP40" s="1">
        <v>0.0141</v>
      </c>
      <c r="BQ40" s="1" t="s">
        <v>96</v>
      </c>
      <c r="BR40" s="1">
        <v>0.0026</v>
      </c>
      <c r="BS40" s="1" t="s">
        <v>96</v>
      </c>
      <c r="BT40" s="1">
        <v>0.0033</v>
      </c>
      <c r="BU40" s="1" t="s">
        <v>96</v>
      </c>
      <c r="BV40" s="1">
        <v>0.0046</v>
      </c>
      <c r="BW40" s="1" t="s">
        <v>96</v>
      </c>
      <c r="BX40" s="1">
        <v>0.0035</v>
      </c>
      <c r="BY40" s="1" t="s">
        <v>96</v>
      </c>
      <c r="BZ40" s="1">
        <v>0.0012</v>
      </c>
      <c r="CA40" s="1">
        <v>0.0144</v>
      </c>
      <c r="CB40" s="1">
        <v>0.0111</v>
      </c>
      <c r="CC40" s="1" t="s">
        <v>96</v>
      </c>
      <c r="CD40" s="1">
        <v>0.003</v>
      </c>
      <c r="CE40" s="1" t="s">
        <v>96</v>
      </c>
      <c r="CF40" s="1">
        <v>0.0071</v>
      </c>
      <c r="CG40" s="1" t="s">
        <v>96</v>
      </c>
      <c r="CH40" s="1">
        <v>2.0E-4</v>
      </c>
      <c r="CI40" s="1"/>
      <c r="CJ40" s="1"/>
      <c r="CK40" s="1" t="s">
        <v>96</v>
      </c>
      <c r="CL40" s="1">
        <v>0.0021</v>
      </c>
      <c r="CM40" s="1" t="s">
        <v>96</v>
      </c>
      <c r="CN40" s="1">
        <v>0.0018</v>
      </c>
      <c r="CO40" s="1">
        <v>0.001</v>
      </c>
      <c r="CP40" s="1"/>
      <c r="CQ40" s="1"/>
      <c r="CR40" s="1"/>
      <c r="CS40" s="1"/>
      <c r="CT40" s="1"/>
      <c r="CU40" s="1"/>
      <c r="CV40" s="1"/>
      <c r="CW40" s="1"/>
      <c r="CX40" s="1"/>
      <c r="CY40" s="1"/>
    </row>
    <row r="41" ht="14.25" customHeight="1">
      <c r="A41" s="1" t="s">
        <v>148</v>
      </c>
      <c r="B41" s="1">
        <v>1139898.0</v>
      </c>
      <c r="C41" s="3">
        <v>263.940308</v>
      </c>
      <c r="D41" s="3">
        <v>715132.323523</v>
      </c>
      <c r="E41" s="3">
        <v>5988701.458732</v>
      </c>
      <c r="F41" s="4">
        <v>2.0</v>
      </c>
      <c r="G41" s="4">
        <v>3.0</v>
      </c>
      <c r="H41" s="1" t="s">
        <v>106</v>
      </c>
      <c r="I41" s="1" t="s">
        <v>146</v>
      </c>
      <c r="J41" s="1"/>
      <c r="K41" s="1"/>
      <c r="L41" s="1"/>
      <c r="M41" s="2"/>
      <c r="N41" s="2" t="s">
        <v>135</v>
      </c>
      <c r="O41" s="1" t="s">
        <v>123</v>
      </c>
      <c r="P41" s="1"/>
      <c r="Q41" s="1"/>
      <c r="R41" s="1">
        <v>6.1186</v>
      </c>
      <c r="S41" s="1">
        <v>0.1712</v>
      </c>
      <c r="T41" s="1">
        <v>11.6005</v>
      </c>
      <c r="U41" s="1">
        <v>0.133</v>
      </c>
      <c r="V41" s="1" t="s">
        <v>96</v>
      </c>
      <c r="W41" s="1">
        <v>1.0348</v>
      </c>
      <c r="X41" s="1" t="s">
        <v>96</v>
      </c>
      <c r="Y41" s="1">
        <v>0.4111</v>
      </c>
      <c r="Z41" s="1">
        <v>0.1022</v>
      </c>
      <c r="AA41" s="1">
        <v>0.0796</v>
      </c>
      <c r="AB41" s="1">
        <v>0.8856</v>
      </c>
      <c r="AC41" s="1">
        <v>0.1045</v>
      </c>
      <c r="AD41" s="1">
        <v>0.039</v>
      </c>
      <c r="AE41" s="1">
        <v>0.0199</v>
      </c>
      <c r="AF41" s="1" t="s">
        <v>96</v>
      </c>
      <c r="AG41" s="1">
        <v>0.0115</v>
      </c>
      <c r="AH41" s="1">
        <v>0.0409</v>
      </c>
      <c r="AI41" s="1">
        <v>0.0172</v>
      </c>
      <c r="AJ41" s="1">
        <v>5.5233</v>
      </c>
      <c r="AK41" s="1">
        <v>0.0984</v>
      </c>
      <c r="AL41" s="1" t="s">
        <v>96</v>
      </c>
      <c r="AM41" s="1">
        <v>0.0218</v>
      </c>
      <c r="AN41" s="1" t="s">
        <v>96</v>
      </c>
      <c r="AO41" s="1">
        <v>0.0038</v>
      </c>
      <c r="AP41" s="1">
        <v>0.012</v>
      </c>
      <c r="AQ41" s="1">
        <v>0.0021</v>
      </c>
      <c r="AR41" s="1">
        <v>0.0049</v>
      </c>
      <c r="AS41" s="1">
        <v>0.0018</v>
      </c>
      <c r="AT41" s="1">
        <v>0.0055</v>
      </c>
      <c r="AU41" s="1">
        <v>0.0041</v>
      </c>
      <c r="AV41" s="1" t="s">
        <v>96</v>
      </c>
      <c r="AW41" s="1">
        <v>0.0056</v>
      </c>
      <c r="AX41" s="1" t="s">
        <v>96</v>
      </c>
      <c r="AY41" s="1">
        <v>5.0E-4</v>
      </c>
      <c r="AZ41" s="1">
        <v>0.0031</v>
      </c>
      <c r="BA41" s="1">
        <v>8.0E-4</v>
      </c>
      <c r="BB41" s="1">
        <v>9.0E-4</v>
      </c>
      <c r="BC41" s="1">
        <v>5.0E-4</v>
      </c>
      <c r="BD41" s="1">
        <v>0.0031</v>
      </c>
      <c r="BE41" s="1">
        <f t="shared" si="1"/>
        <v>31</v>
      </c>
      <c r="BF41" s="3">
        <f t="shared" si="2"/>
        <v>35.65</v>
      </c>
      <c r="BG41" s="1">
        <v>5.0E-4</v>
      </c>
      <c r="BH41" s="1"/>
      <c r="BI41" s="1">
        <v>0.0221</v>
      </c>
      <c r="BJ41" s="1">
        <v>0.0013</v>
      </c>
      <c r="BK41" s="1" t="s">
        <v>96</v>
      </c>
      <c r="BL41" s="1">
        <v>0.0045</v>
      </c>
      <c r="BM41" s="1" t="s">
        <v>96</v>
      </c>
      <c r="BN41" s="1">
        <v>0.0028</v>
      </c>
      <c r="BO41" s="1" t="s">
        <v>96</v>
      </c>
      <c r="BP41" s="1">
        <v>0.0157</v>
      </c>
      <c r="BQ41" s="1" t="s">
        <v>96</v>
      </c>
      <c r="BR41" s="1">
        <v>0.0028</v>
      </c>
      <c r="BS41" s="1">
        <v>0.0056</v>
      </c>
      <c r="BT41" s="1">
        <v>0.0035</v>
      </c>
      <c r="BU41" s="1" t="s">
        <v>96</v>
      </c>
      <c r="BV41" s="1">
        <v>0.0049</v>
      </c>
      <c r="BW41" s="1" t="s">
        <v>96</v>
      </c>
      <c r="BX41" s="1">
        <v>0.0039</v>
      </c>
      <c r="BY41" s="1" t="s">
        <v>96</v>
      </c>
      <c r="BZ41" s="1">
        <v>0.0013</v>
      </c>
      <c r="CA41" s="1" t="s">
        <v>96</v>
      </c>
      <c r="CB41" s="1">
        <v>0.0117</v>
      </c>
      <c r="CC41" s="1" t="s">
        <v>96</v>
      </c>
      <c r="CD41" s="1">
        <v>0.0027</v>
      </c>
      <c r="CE41" s="1" t="s">
        <v>96</v>
      </c>
      <c r="CF41" s="1">
        <v>0.0075</v>
      </c>
      <c r="CG41" s="1" t="s">
        <v>96</v>
      </c>
      <c r="CH41" s="1">
        <v>2.0E-4</v>
      </c>
      <c r="CI41" s="1"/>
      <c r="CJ41" s="1"/>
      <c r="CK41" s="1" t="s">
        <v>96</v>
      </c>
      <c r="CL41" s="1">
        <v>0.0021</v>
      </c>
      <c r="CM41" s="1" t="s">
        <v>96</v>
      </c>
      <c r="CN41" s="1">
        <v>0.0019</v>
      </c>
      <c r="CO41" s="1" t="s">
        <v>96</v>
      </c>
      <c r="CP41" s="1"/>
      <c r="CQ41" s="1"/>
      <c r="CR41" s="1"/>
      <c r="CS41" s="1"/>
      <c r="CT41" s="1"/>
      <c r="CU41" s="1"/>
      <c r="CV41" s="1"/>
      <c r="CW41" s="1"/>
      <c r="CX41" s="1"/>
      <c r="CY41" s="1"/>
    </row>
    <row r="42" ht="14.25" customHeight="1">
      <c r="A42" s="1" t="s">
        <v>149</v>
      </c>
      <c r="B42" s="1">
        <v>1139899.0</v>
      </c>
      <c r="C42" s="3">
        <v>382.872711</v>
      </c>
      <c r="D42" s="3">
        <v>712850.537144</v>
      </c>
      <c r="E42" s="3">
        <v>5985656.717491</v>
      </c>
      <c r="F42" s="4">
        <v>0.0</v>
      </c>
      <c r="G42" s="4">
        <v>1.0</v>
      </c>
      <c r="H42" s="8" t="s">
        <v>150</v>
      </c>
      <c r="I42" s="1" t="s">
        <v>151</v>
      </c>
      <c r="J42" s="1"/>
      <c r="K42" s="1"/>
      <c r="L42" s="1"/>
      <c r="M42" s="2"/>
      <c r="N42" s="2" t="s">
        <v>114</v>
      </c>
      <c r="O42" s="1" t="s">
        <v>115</v>
      </c>
      <c r="P42" s="1"/>
      <c r="Q42" s="1"/>
      <c r="R42" s="1">
        <v>8.2789</v>
      </c>
      <c r="S42" s="1">
        <v>0.1499</v>
      </c>
      <c r="T42" s="1">
        <v>10.5861</v>
      </c>
      <c r="U42" s="1">
        <v>0.109</v>
      </c>
      <c r="V42" s="1" t="s">
        <v>96</v>
      </c>
      <c r="W42" s="1">
        <v>1.1465</v>
      </c>
      <c r="X42" s="1">
        <v>0.8627</v>
      </c>
      <c r="Y42" s="1">
        <v>0.528</v>
      </c>
      <c r="Z42" s="1">
        <v>0.5688</v>
      </c>
      <c r="AA42" s="1">
        <v>0.1312</v>
      </c>
      <c r="AB42" s="1">
        <v>0.1746</v>
      </c>
      <c r="AC42" s="1">
        <v>0.0564</v>
      </c>
      <c r="AD42" s="1" t="s">
        <v>96</v>
      </c>
      <c r="AE42" s="1">
        <v>0.0123</v>
      </c>
      <c r="AF42" s="1"/>
      <c r="AG42" s="1"/>
      <c r="AH42" s="1">
        <v>0.0288</v>
      </c>
      <c r="AI42" s="1">
        <v>0.0139</v>
      </c>
      <c r="AJ42" s="1">
        <v>1.4915</v>
      </c>
      <c r="AK42" s="1">
        <v>0.0457</v>
      </c>
      <c r="AL42" s="1" t="s">
        <v>96</v>
      </c>
      <c r="AM42" s="1">
        <v>0.0116</v>
      </c>
      <c r="AN42" s="1" t="s">
        <v>96</v>
      </c>
      <c r="AO42" s="1">
        <v>0.0032</v>
      </c>
      <c r="AP42" s="1">
        <v>0.004</v>
      </c>
      <c r="AQ42" s="1">
        <v>0.0017</v>
      </c>
      <c r="AR42" s="1">
        <v>0.0028</v>
      </c>
      <c r="AS42" s="1">
        <v>0.0014</v>
      </c>
      <c r="AT42" s="1">
        <v>0.0054</v>
      </c>
      <c r="AU42" s="1">
        <v>0.0043</v>
      </c>
      <c r="AV42" s="1" t="s">
        <v>96</v>
      </c>
      <c r="AW42" s="1">
        <v>0.0049</v>
      </c>
      <c r="AX42" s="1" t="s">
        <v>96</v>
      </c>
      <c r="AY42" s="1">
        <v>4.0E-4</v>
      </c>
      <c r="AZ42" s="1">
        <v>0.0066</v>
      </c>
      <c r="BA42" s="1">
        <v>0.001</v>
      </c>
      <c r="BB42" s="1">
        <v>0.0132</v>
      </c>
      <c r="BC42" s="1">
        <v>0.0012</v>
      </c>
      <c r="BD42" s="1">
        <v>0.0012</v>
      </c>
      <c r="BE42" s="1">
        <f t="shared" si="1"/>
        <v>12</v>
      </c>
      <c r="BF42" s="3">
        <f t="shared" si="2"/>
        <v>13.8</v>
      </c>
      <c r="BG42" s="1">
        <v>4.0E-4</v>
      </c>
      <c r="BH42" s="1"/>
      <c r="BI42" s="1">
        <v>0.0176</v>
      </c>
      <c r="BJ42" s="1">
        <v>0.0012</v>
      </c>
      <c r="BK42" s="1" t="s">
        <v>96</v>
      </c>
      <c r="BL42" s="1">
        <v>0.0048</v>
      </c>
      <c r="BM42" s="1" t="s">
        <v>96</v>
      </c>
      <c r="BN42" s="1">
        <v>0.0029</v>
      </c>
      <c r="BO42" s="1" t="s">
        <v>96</v>
      </c>
      <c r="BP42" s="1">
        <v>0.019</v>
      </c>
      <c r="BQ42" s="1" t="s">
        <v>96</v>
      </c>
      <c r="BR42" s="1">
        <v>0.0027</v>
      </c>
      <c r="BS42" s="1">
        <v>0.0102</v>
      </c>
      <c r="BT42" s="1">
        <v>0.0035</v>
      </c>
      <c r="BU42" s="1" t="s">
        <v>96</v>
      </c>
      <c r="BV42" s="1">
        <v>0.0048</v>
      </c>
      <c r="BW42" s="1" t="s">
        <v>96</v>
      </c>
      <c r="BX42" s="1">
        <v>0.0038</v>
      </c>
      <c r="BY42" s="1" t="s">
        <v>96</v>
      </c>
      <c r="BZ42" s="1">
        <v>0.0012</v>
      </c>
      <c r="CA42" s="1">
        <v>0.0446</v>
      </c>
      <c r="CB42" s="1">
        <v>0.0112</v>
      </c>
      <c r="CC42" s="1" t="s">
        <v>96</v>
      </c>
      <c r="CD42" s="1">
        <v>0.0024</v>
      </c>
      <c r="CE42" s="1"/>
      <c r="CF42" s="1"/>
      <c r="CG42" s="1" t="s">
        <v>96</v>
      </c>
      <c r="CH42" s="1">
        <v>2.0E-4</v>
      </c>
      <c r="CI42" s="1"/>
      <c r="CJ42" s="1"/>
      <c r="CK42" s="1">
        <v>0.004</v>
      </c>
      <c r="CL42" s="1">
        <v>0.0024</v>
      </c>
      <c r="CM42" s="1" t="s">
        <v>96</v>
      </c>
      <c r="CN42" s="1">
        <v>0.0018</v>
      </c>
      <c r="CO42" s="1" t="s">
        <v>96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</row>
    <row r="43" ht="14.25" customHeight="1">
      <c r="A43" s="1" t="s">
        <v>149</v>
      </c>
      <c r="B43" s="1">
        <v>1139900.0</v>
      </c>
      <c r="C43" s="3">
        <v>382.872711</v>
      </c>
      <c r="D43" s="3">
        <v>712850.537144</v>
      </c>
      <c r="E43" s="3">
        <v>5985656.717491</v>
      </c>
      <c r="F43" s="4">
        <v>1.0</v>
      </c>
      <c r="G43" s="4">
        <v>0.8</v>
      </c>
      <c r="H43" s="8" t="s">
        <v>152</v>
      </c>
      <c r="I43" s="1" t="s">
        <v>151</v>
      </c>
      <c r="J43" s="1"/>
      <c r="K43" s="1"/>
      <c r="L43" s="1"/>
      <c r="M43" s="2"/>
      <c r="N43" s="2" t="s">
        <v>114</v>
      </c>
      <c r="O43" s="1" t="s">
        <v>123</v>
      </c>
      <c r="P43" s="1"/>
      <c r="Q43" s="1"/>
      <c r="R43" s="1">
        <v>8.9715</v>
      </c>
      <c r="S43" s="1">
        <v>0.2486</v>
      </c>
      <c r="T43" s="1">
        <v>14.557</v>
      </c>
      <c r="U43" s="1">
        <v>0.1867</v>
      </c>
      <c r="V43" s="1" t="s">
        <v>96</v>
      </c>
      <c r="W43" s="1">
        <v>0.9868</v>
      </c>
      <c r="X43" s="1">
        <v>1.738</v>
      </c>
      <c r="Y43" s="1">
        <v>0.7114</v>
      </c>
      <c r="Z43" s="1">
        <v>0.1369</v>
      </c>
      <c r="AA43" s="1">
        <v>0.0812</v>
      </c>
      <c r="AB43" s="1">
        <v>0.6929</v>
      </c>
      <c r="AC43" s="1">
        <v>0.0951</v>
      </c>
      <c r="AD43" s="1">
        <v>0.0231</v>
      </c>
      <c r="AE43" s="1">
        <v>0.0181</v>
      </c>
      <c r="AF43" s="1"/>
      <c r="AG43" s="1"/>
      <c r="AH43" s="1">
        <v>0.0705</v>
      </c>
      <c r="AI43" s="1">
        <v>0.0196</v>
      </c>
      <c r="AJ43" s="1">
        <v>5.4065</v>
      </c>
      <c r="AK43" s="1">
        <v>0.1011</v>
      </c>
      <c r="AL43" s="1" t="s">
        <v>96</v>
      </c>
      <c r="AM43" s="1">
        <v>0.0205</v>
      </c>
      <c r="AN43" s="1" t="s">
        <v>96</v>
      </c>
      <c r="AO43" s="1">
        <v>0.0045</v>
      </c>
      <c r="AP43" s="1">
        <v>0.0131</v>
      </c>
      <c r="AQ43" s="1">
        <v>0.0023</v>
      </c>
      <c r="AR43" s="1">
        <v>0.0072</v>
      </c>
      <c r="AS43" s="1">
        <v>0.0022</v>
      </c>
      <c r="AT43" s="1">
        <v>0.0051</v>
      </c>
      <c r="AU43" s="1">
        <v>0.0042</v>
      </c>
      <c r="AV43" s="1" t="s">
        <v>96</v>
      </c>
      <c r="AW43" s="1">
        <v>0.0059</v>
      </c>
      <c r="AX43" s="1" t="s">
        <v>96</v>
      </c>
      <c r="AY43" s="1">
        <v>5.0E-4</v>
      </c>
      <c r="AZ43" s="1">
        <v>0.0149</v>
      </c>
      <c r="BA43" s="1">
        <v>0.0015</v>
      </c>
      <c r="BB43" s="1">
        <v>0.0021</v>
      </c>
      <c r="BC43" s="1">
        <v>7.0E-4</v>
      </c>
      <c r="BD43" s="1">
        <v>0.0042</v>
      </c>
      <c r="BE43" s="1">
        <f t="shared" si="1"/>
        <v>42</v>
      </c>
      <c r="BF43" s="3">
        <f t="shared" si="2"/>
        <v>48.3</v>
      </c>
      <c r="BG43" s="1">
        <v>6.0E-4</v>
      </c>
      <c r="BH43" s="1"/>
      <c r="BI43" s="1">
        <v>0.0304</v>
      </c>
      <c r="BJ43" s="1">
        <v>0.0016</v>
      </c>
      <c r="BK43" s="1" t="s">
        <v>96</v>
      </c>
      <c r="BL43" s="1">
        <v>0.0043</v>
      </c>
      <c r="BM43" s="1"/>
      <c r="BN43" s="1"/>
      <c r="BO43" s="1" t="s">
        <v>96</v>
      </c>
      <c r="BP43" s="1">
        <v>0.0147</v>
      </c>
      <c r="BQ43" s="1" t="s">
        <v>96</v>
      </c>
      <c r="BR43" s="1">
        <v>0.0028</v>
      </c>
      <c r="BS43" s="1"/>
      <c r="BT43" s="1"/>
      <c r="BU43" s="1" t="s">
        <v>96</v>
      </c>
      <c r="BV43" s="1">
        <v>0.005</v>
      </c>
      <c r="BW43" s="1" t="s">
        <v>96</v>
      </c>
      <c r="BX43" s="1">
        <v>0.004</v>
      </c>
      <c r="BY43" s="1" t="s">
        <v>96</v>
      </c>
      <c r="BZ43" s="1">
        <v>0.0013</v>
      </c>
      <c r="CA43" s="1">
        <v>0.0367</v>
      </c>
      <c r="CB43" s="1">
        <v>0.0124</v>
      </c>
      <c r="CC43" s="1" t="s">
        <v>96</v>
      </c>
      <c r="CD43" s="1">
        <v>0.0028</v>
      </c>
      <c r="CE43" s="1" t="s">
        <v>96</v>
      </c>
      <c r="CF43" s="1">
        <v>0.0073</v>
      </c>
      <c r="CG43" s="1" t="s">
        <v>96</v>
      </c>
      <c r="CH43" s="1">
        <v>2.0E-4</v>
      </c>
      <c r="CI43" s="1"/>
      <c r="CJ43" s="1"/>
      <c r="CK43" s="1" t="s">
        <v>96</v>
      </c>
      <c r="CL43" s="1">
        <v>0.0026</v>
      </c>
      <c r="CM43" s="1" t="s">
        <v>96</v>
      </c>
      <c r="CN43" s="1">
        <v>0.0022</v>
      </c>
      <c r="CO43" s="1">
        <v>0.0019</v>
      </c>
      <c r="CP43" s="1"/>
      <c r="CQ43" s="1"/>
      <c r="CR43" s="1"/>
      <c r="CS43" s="1"/>
      <c r="CT43" s="1"/>
      <c r="CU43" s="1"/>
      <c r="CV43" s="1"/>
      <c r="CW43" s="1"/>
      <c r="CX43" s="1"/>
      <c r="CY43" s="1"/>
    </row>
    <row r="44" ht="14.25" customHeight="1">
      <c r="A44" s="1" t="s">
        <v>149</v>
      </c>
      <c r="B44" s="1">
        <v>1139901.0</v>
      </c>
      <c r="C44" s="3">
        <v>382.872711</v>
      </c>
      <c r="D44" s="3">
        <v>712850.537144</v>
      </c>
      <c r="E44" s="3">
        <v>5985656.717491</v>
      </c>
      <c r="F44" s="4">
        <v>1.8</v>
      </c>
      <c r="G44" s="4">
        <v>2.7</v>
      </c>
      <c r="H44" s="4" t="s">
        <v>103</v>
      </c>
      <c r="I44" s="1" t="s">
        <v>151</v>
      </c>
      <c r="J44" s="1"/>
      <c r="K44" s="1"/>
      <c r="L44" s="1"/>
      <c r="M44" s="2"/>
      <c r="N44" s="2" t="s">
        <v>114</v>
      </c>
      <c r="O44" s="1" t="s">
        <v>123</v>
      </c>
      <c r="P44" s="1"/>
      <c r="Q44" s="1"/>
      <c r="R44" s="1">
        <v>6.4282</v>
      </c>
      <c r="S44" s="1">
        <v>0.1696</v>
      </c>
      <c r="T44" s="1">
        <v>10.0906</v>
      </c>
      <c r="U44" s="1">
        <v>0.1214</v>
      </c>
      <c r="V44" s="1" t="s">
        <v>96</v>
      </c>
      <c r="W44" s="1">
        <v>0.9359</v>
      </c>
      <c r="X44" s="1">
        <v>1.1742</v>
      </c>
      <c r="Y44" s="1">
        <v>0.5789</v>
      </c>
      <c r="Z44" s="1">
        <v>0.0829</v>
      </c>
      <c r="AA44" s="1">
        <v>0.0629</v>
      </c>
      <c r="AB44" s="1">
        <v>0.5682</v>
      </c>
      <c r="AC44" s="1">
        <v>0.0866</v>
      </c>
      <c r="AD44" s="1" t="s">
        <v>96</v>
      </c>
      <c r="AE44" s="1">
        <v>0.0158</v>
      </c>
      <c r="AF44" s="1"/>
      <c r="AG44" s="1"/>
      <c r="AH44" s="1">
        <v>0.0289</v>
      </c>
      <c r="AI44" s="1">
        <v>0.0151</v>
      </c>
      <c r="AJ44" s="1">
        <v>5.4925</v>
      </c>
      <c r="AK44" s="1">
        <v>0.1154</v>
      </c>
      <c r="AL44" s="1" t="s">
        <v>96</v>
      </c>
      <c r="AM44" s="1">
        <v>0.0173</v>
      </c>
      <c r="AN44" s="1" t="s">
        <v>96</v>
      </c>
      <c r="AO44" s="1">
        <v>0.0039</v>
      </c>
      <c r="AP44" s="1">
        <v>0.011</v>
      </c>
      <c r="AQ44" s="1">
        <v>0.0026</v>
      </c>
      <c r="AR44" s="1">
        <v>0.0069</v>
      </c>
      <c r="AS44" s="1">
        <v>0.0025</v>
      </c>
      <c r="AT44" s="1">
        <v>0.0044</v>
      </c>
      <c r="AU44" s="1">
        <v>0.0037</v>
      </c>
      <c r="AV44" s="1" t="s">
        <v>96</v>
      </c>
      <c r="AW44" s="1">
        <v>0.0073</v>
      </c>
      <c r="AX44" s="1" t="s">
        <v>96</v>
      </c>
      <c r="AY44" s="1">
        <v>6.0E-4</v>
      </c>
      <c r="AZ44" s="1">
        <v>0.0122</v>
      </c>
      <c r="BA44" s="1">
        <v>0.0016</v>
      </c>
      <c r="BB44" s="1">
        <v>0.0011</v>
      </c>
      <c r="BC44" s="1">
        <v>7.0E-4</v>
      </c>
      <c r="BD44" s="1">
        <v>0.0023</v>
      </c>
      <c r="BE44" s="1">
        <f t="shared" si="1"/>
        <v>23</v>
      </c>
      <c r="BF44" s="3">
        <f t="shared" si="2"/>
        <v>26.45</v>
      </c>
      <c r="BG44" s="1">
        <v>6.0E-4</v>
      </c>
      <c r="BH44" s="1"/>
      <c r="BI44" s="1">
        <v>0.0176</v>
      </c>
      <c r="BJ44" s="1">
        <v>0.0015</v>
      </c>
      <c r="BK44" s="1" t="s">
        <v>96</v>
      </c>
      <c r="BL44" s="1">
        <v>0.0038</v>
      </c>
      <c r="BM44" s="1"/>
      <c r="BN44" s="1"/>
      <c r="BO44" s="1" t="s">
        <v>96</v>
      </c>
      <c r="BP44" s="1">
        <v>0.0124</v>
      </c>
      <c r="BQ44" s="1" t="s">
        <v>96</v>
      </c>
      <c r="BR44" s="1">
        <v>0.0034</v>
      </c>
      <c r="BS44" s="1">
        <v>0.0095</v>
      </c>
      <c r="BT44" s="1">
        <v>0.0043</v>
      </c>
      <c r="BU44" s="1" t="s">
        <v>96</v>
      </c>
      <c r="BV44" s="1">
        <v>0.006</v>
      </c>
      <c r="BW44" s="1" t="s">
        <v>96</v>
      </c>
      <c r="BX44" s="1">
        <v>0.0052</v>
      </c>
      <c r="BY44" s="1" t="s">
        <v>96</v>
      </c>
      <c r="BZ44" s="1">
        <v>0.0017</v>
      </c>
      <c r="CA44" s="1">
        <v>0.0358</v>
      </c>
      <c r="CB44" s="1">
        <v>0.0147</v>
      </c>
      <c r="CC44" s="1" t="s">
        <v>96</v>
      </c>
      <c r="CD44" s="1">
        <v>0.0036</v>
      </c>
      <c r="CE44" s="1" t="s">
        <v>96</v>
      </c>
      <c r="CF44" s="1">
        <v>0.0065</v>
      </c>
      <c r="CG44" s="1" t="s">
        <v>96</v>
      </c>
      <c r="CH44" s="1">
        <v>3.0E-4</v>
      </c>
      <c r="CI44" s="1"/>
      <c r="CJ44" s="1"/>
      <c r="CK44" s="1">
        <v>0.0032</v>
      </c>
      <c r="CL44" s="1">
        <v>0.003</v>
      </c>
      <c r="CM44" s="1" t="s">
        <v>96</v>
      </c>
      <c r="CN44" s="1">
        <v>0.0024</v>
      </c>
      <c r="CO44" s="1">
        <v>0.0021</v>
      </c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ht="14.25" customHeight="1">
      <c r="A45" s="1" t="s">
        <v>153</v>
      </c>
      <c r="B45" s="1">
        <v>1139902.0</v>
      </c>
      <c r="C45" s="3">
        <v>382.378296</v>
      </c>
      <c r="D45" s="3">
        <v>713032.757361</v>
      </c>
      <c r="E45" s="3">
        <v>5985625.28632</v>
      </c>
      <c r="F45" s="4">
        <v>0.0</v>
      </c>
      <c r="G45" s="4">
        <v>1.0</v>
      </c>
      <c r="H45" s="8" t="s">
        <v>150</v>
      </c>
      <c r="I45" s="1" t="s">
        <v>151</v>
      </c>
      <c r="J45" s="1"/>
      <c r="K45" s="1"/>
      <c r="L45" s="1"/>
      <c r="M45" s="2"/>
      <c r="N45" s="2" t="s">
        <v>114</v>
      </c>
      <c r="O45" s="1" t="s">
        <v>123</v>
      </c>
      <c r="P45" s="1"/>
      <c r="Q45" s="1"/>
      <c r="R45" s="1">
        <v>9.0209</v>
      </c>
      <c r="S45" s="1">
        <v>0.2387</v>
      </c>
      <c r="T45" s="1">
        <v>16.8743</v>
      </c>
      <c r="U45" s="1">
        <v>0.1954</v>
      </c>
      <c r="V45" s="1" t="s">
        <v>96</v>
      </c>
      <c r="W45" s="1">
        <v>1.2258</v>
      </c>
      <c r="X45" s="1">
        <v>1.6885</v>
      </c>
      <c r="Y45" s="1">
        <v>0.6853</v>
      </c>
      <c r="Z45" s="1">
        <v>0.1312</v>
      </c>
      <c r="AA45" s="1">
        <v>0.0766</v>
      </c>
      <c r="AB45" s="1">
        <v>0.4728</v>
      </c>
      <c r="AC45" s="1">
        <v>0.0799</v>
      </c>
      <c r="AD45" s="1">
        <v>0.0223</v>
      </c>
      <c r="AE45" s="1">
        <v>0.0165</v>
      </c>
      <c r="AF45" s="1"/>
      <c r="AG45" s="1"/>
      <c r="AH45" s="1">
        <v>0.0999</v>
      </c>
      <c r="AI45" s="1">
        <v>0.0213</v>
      </c>
      <c r="AJ45" s="1">
        <v>3.4891</v>
      </c>
      <c r="AK45" s="1">
        <v>0.0744</v>
      </c>
      <c r="AL45" s="1" t="s">
        <v>96</v>
      </c>
      <c r="AM45" s="1">
        <v>0.0177</v>
      </c>
      <c r="AN45" s="1" t="s">
        <v>96</v>
      </c>
      <c r="AO45" s="1">
        <v>0.0035</v>
      </c>
      <c r="AP45" s="1">
        <v>0.0091</v>
      </c>
      <c r="AQ45" s="1">
        <v>0.0019</v>
      </c>
      <c r="AR45" s="1">
        <v>0.006</v>
      </c>
      <c r="AS45" s="1">
        <v>0.0019</v>
      </c>
      <c r="AT45" s="1">
        <v>0.0057</v>
      </c>
      <c r="AU45" s="1">
        <v>0.0044</v>
      </c>
      <c r="AV45" s="1" t="s">
        <v>96</v>
      </c>
      <c r="AW45" s="1">
        <v>0.0053</v>
      </c>
      <c r="AX45" s="1" t="s">
        <v>96</v>
      </c>
      <c r="AY45" s="1">
        <v>5.0E-4</v>
      </c>
      <c r="AZ45" s="1">
        <v>0.0116</v>
      </c>
      <c r="BA45" s="1">
        <v>0.0012</v>
      </c>
      <c r="BB45" s="1">
        <v>0.0015</v>
      </c>
      <c r="BC45" s="1">
        <v>6.0E-4</v>
      </c>
      <c r="BD45" s="1">
        <v>0.0029</v>
      </c>
      <c r="BE45" s="1">
        <f t="shared" si="1"/>
        <v>29</v>
      </c>
      <c r="BF45" s="3">
        <f t="shared" si="2"/>
        <v>33.35</v>
      </c>
      <c r="BG45" s="1">
        <v>5.0E-4</v>
      </c>
      <c r="BH45" s="1"/>
      <c r="BI45" s="1">
        <v>0.0255</v>
      </c>
      <c r="BJ45" s="1">
        <v>0.0014</v>
      </c>
      <c r="BK45" s="1" t="s">
        <v>96</v>
      </c>
      <c r="BL45" s="1">
        <v>0.0048</v>
      </c>
      <c r="BM45" s="1" t="s">
        <v>96</v>
      </c>
      <c r="BN45" s="1">
        <v>0.0028</v>
      </c>
      <c r="BO45" s="1" t="s">
        <v>96</v>
      </c>
      <c r="BP45" s="1">
        <v>0.0178</v>
      </c>
      <c r="BQ45" s="1" t="s">
        <v>96</v>
      </c>
      <c r="BR45" s="1">
        <v>0.0029</v>
      </c>
      <c r="BS45" s="1">
        <v>0.0166</v>
      </c>
      <c r="BT45" s="1">
        <v>0.0037</v>
      </c>
      <c r="BU45" s="1" t="s">
        <v>96</v>
      </c>
      <c r="BV45" s="1">
        <v>0.0051</v>
      </c>
      <c r="BW45" s="1" t="s">
        <v>96</v>
      </c>
      <c r="BX45" s="1">
        <v>0.0041</v>
      </c>
      <c r="BY45" s="1" t="s">
        <v>96</v>
      </c>
      <c r="BZ45" s="1">
        <v>0.0013</v>
      </c>
      <c r="CA45" s="1">
        <v>0.0423</v>
      </c>
      <c r="CB45" s="1">
        <v>0.0125</v>
      </c>
      <c r="CC45" s="1" t="s">
        <v>96</v>
      </c>
      <c r="CD45" s="1">
        <v>0.0029</v>
      </c>
      <c r="CE45" s="1"/>
      <c r="CF45" s="1"/>
      <c r="CG45" s="1" t="s">
        <v>96</v>
      </c>
      <c r="CH45" s="1">
        <v>2.0E-4</v>
      </c>
      <c r="CI45" s="1" t="s">
        <v>96</v>
      </c>
      <c r="CJ45" s="1">
        <v>0.0014</v>
      </c>
      <c r="CK45" s="1">
        <v>0.0024</v>
      </c>
      <c r="CL45" s="1">
        <v>0.0023</v>
      </c>
      <c r="CM45" s="1" t="s">
        <v>96</v>
      </c>
      <c r="CN45" s="1">
        <v>0.0019</v>
      </c>
      <c r="CO45" s="1">
        <v>0.0021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</row>
    <row r="46" ht="14.25" customHeight="1">
      <c r="A46" s="1" t="s">
        <v>153</v>
      </c>
      <c r="B46" s="1">
        <v>1139903.0</v>
      </c>
      <c r="C46" s="3">
        <v>382.378296</v>
      </c>
      <c r="D46" s="3">
        <v>713032.757361</v>
      </c>
      <c r="E46" s="3">
        <v>5985625.28632</v>
      </c>
      <c r="F46" s="4">
        <v>1.0</v>
      </c>
      <c r="G46" s="4">
        <v>2.0</v>
      </c>
      <c r="H46" s="8" t="s">
        <v>152</v>
      </c>
      <c r="I46" s="1" t="s">
        <v>151</v>
      </c>
      <c r="J46" s="1"/>
      <c r="K46" s="1"/>
      <c r="L46" s="1"/>
      <c r="M46" s="2"/>
      <c r="N46" s="2" t="s">
        <v>114</v>
      </c>
      <c r="O46" s="1" t="s">
        <v>123</v>
      </c>
      <c r="P46" s="1"/>
      <c r="Q46" s="1"/>
      <c r="R46" s="1">
        <v>4.8966</v>
      </c>
      <c r="S46" s="1">
        <v>0.1195</v>
      </c>
      <c r="T46" s="1">
        <v>8.9579</v>
      </c>
      <c r="U46" s="1">
        <v>0.0911</v>
      </c>
      <c r="V46" s="1" t="s">
        <v>96</v>
      </c>
      <c r="W46" s="1">
        <v>0.8508</v>
      </c>
      <c r="X46" s="1">
        <v>1.0316</v>
      </c>
      <c r="Y46" s="1">
        <v>0.5482</v>
      </c>
      <c r="Z46" s="1">
        <v>0.0926</v>
      </c>
      <c r="AA46" s="1">
        <v>0.0644</v>
      </c>
      <c r="AB46" s="1">
        <v>0.27</v>
      </c>
      <c r="AC46" s="1">
        <v>0.0645</v>
      </c>
      <c r="AD46" s="1"/>
      <c r="AE46" s="1"/>
      <c r="AF46" s="1"/>
      <c r="AG46" s="1"/>
      <c r="AH46" s="1">
        <v>0.0227</v>
      </c>
      <c r="AI46" s="1">
        <v>0.0131</v>
      </c>
      <c r="AJ46" s="1">
        <v>3.9856</v>
      </c>
      <c r="AK46" s="1">
        <v>0.1032</v>
      </c>
      <c r="AL46" s="1" t="s">
        <v>96</v>
      </c>
      <c r="AM46" s="1">
        <v>0.0135</v>
      </c>
      <c r="AN46" s="1" t="s">
        <v>96</v>
      </c>
      <c r="AO46" s="1">
        <v>0.0028</v>
      </c>
      <c r="AP46" s="1">
        <v>0.0097</v>
      </c>
      <c r="AQ46" s="1">
        <v>0.0027</v>
      </c>
      <c r="AR46" s="1">
        <v>0.0073</v>
      </c>
      <c r="AS46" s="1">
        <v>0.0028</v>
      </c>
      <c r="AT46" s="1">
        <v>0.0043</v>
      </c>
      <c r="AU46" s="1">
        <v>0.0035</v>
      </c>
      <c r="AV46" s="1" t="s">
        <v>96</v>
      </c>
      <c r="AW46" s="1">
        <v>0.0074</v>
      </c>
      <c r="AX46" s="1" t="s">
        <v>96</v>
      </c>
      <c r="AY46" s="1">
        <v>6.0E-4</v>
      </c>
      <c r="AZ46" s="1">
        <v>0.0111</v>
      </c>
      <c r="BA46" s="1">
        <v>0.0016</v>
      </c>
      <c r="BB46" s="1">
        <v>0.001</v>
      </c>
      <c r="BC46" s="1">
        <v>8.0E-4</v>
      </c>
      <c r="BD46" s="1">
        <v>0.0029</v>
      </c>
      <c r="BE46" s="1">
        <f t="shared" si="1"/>
        <v>29</v>
      </c>
      <c r="BF46" s="3">
        <f t="shared" si="2"/>
        <v>33.35</v>
      </c>
      <c r="BG46" s="1">
        <v>6.0E-4</v>
      </c>
      <c r="BH46" s="1"/>
      <c r="BI46" s="1">
        <v>0.0189</v>
      </c>
      <c r="BJ46" s="1">
        <v>0.0016</v>
      </c>
      <c r="BK46" s="1" t="s">
        <v>96</v>
      </c>
      <c r="BL46" s="1">
        <v>0.0036</v>
      </c>
      <c r="BM46" s="1"/>
      <c r="BN46" s="1"/>
      <c r="BO46" s="1" t="s">
        <v>96</v>
      </c>
      <c r="BP46" s="1">
        <v>0.0122</v>
      </c>
      <c r="BQ46" s="1" t="s">
        <v>96</v>
      </c>
      <c r="BR46" s="1">
        <v>0.0037</v>
      </c>
      <c r="BS46" s="1">
        <v>0.0157</v>
      </c>
      <c r="BT46" s="1">
        <v>0.0048</v>
      </c>
      <c r="BU46" s="1" t="s">
        <v>96</v>
      </c>
      <c r="BV46" s="1">
        <v>0.0064</v>
      </c>
      <c r="BW46" s="1" t="s">
        <v>96</v>
      </c>
      <c r="BX46" s="1">
        <v>0.0054</v>
      </c>
      <c r="BY46" s="1" t="s">
        <v>96</v>
      </c>
      <c r="BZ46" s="1">
        <v>0.0017</v>
      </c>
      <c r="CA46" s="1">
        <v>0.0395</v>
      </c>
      <c r="CB46" s="1">
        <v>0.0157</v>
      </c>
      <c r="CC46" s="1" t="s">
        <v>96</v>
      </c>
      <c r="CD46" s="1">
        <v>0.0038</v>
      </c>
      <c r="CE46" s="1" t="s">
        <v>96</v>
      </c>
      <c r="CF46" s="1">
        <v>0.0062</v>
      </c>
      <c r="CG46" s="1" t="s">
        <v>96</v>
      </c>
      <c r="CH46" s="1">
        <v>3.0E-4</v>
      </c>
      <c r="CI46" s="1"/>
      <c r="CJ46" s="1"/>
      <c r="CK46" s="1" t="s">
        <v>96</v>
      </c>
      <c r="CL46" s="1">
        <v>0.0031</v>
      </c>
      <c r="CM46" s="1" t="s">
        <v>96</v>
      </c>
      <c r="CN46" s="1">
        <v>0.0029</v>
      </c>
      <c r="CO46" s="1" t="s">
        <v>96</v>
      </c>
      <c r="CP46" s="1"/>
      <c r="CQ46" s="1"/>
      <c r="CR46" s="1"/>
      <c r="CS46" s="1"/>
      <c r="CT46" s="1"/>
      <c r="CU46" s="1"/>
      <c r="CV46" s="1"/>
      <c r="CW46" s="1"/>
      <c r="CX46" s="1"/>
      <c r="CY46" s="1"/>
    </row>
    <row r="47" ht="14.25" customHeight="1">
      <c r="A47" s="1" t="s">
        <v>153</v>
      </c>
      <c r="B47" s="1">
        <v>1139904.0</v>
      </c>
      <c r="C47" s="3">
        <v>382.378296</v>
      </c>
      <c r="D47" s="3">
        <v>713032.757361</v>
      </c>
      <c r="E47" s="3">
        <v>5985625.28632</v>
      </c>
      <c r="F47" s="4">
        <v>2.0</v>
      </c>
      <c r="G47" s="4">
        <v>3.0</v>
      </c>
      <c r="H47" s="8" t="s">
        <v>154</v>
      </c>
      <c r="I47" s="1" t="s">
        <v>151</v>
      </c>
      <c r="J47" s="1"/>
      <c r="K47" s="1"/>
      <c r="L47" s="1"/>
      <c r="M47" s="2"/>
      <c r="N47" s="2" t="s">
        <v>114</v>
      </c>
      <c r="O47" s="1" t="s">
        <v>123</v>
      </c>
      <c r="P47" s="1"/>
      <c r="Q47" s="1"/>
      <c r="R47" s="1">
        <v>12.3751</v>
      </c>
      <c r="S47" s="1">
        <v>0.3494</v>
      </c>
      <c r="T47" s="1">
        <v>21.636</v>
      </c>
      <c r="U47" s="1">
        <v>0.2835</v>
      </c>
      <c r="V47" s="1" t="s">
        <v>96</v>
      </c>
      <c r="W47" s="1">
        <v>1.1157</v>
      </c>
      <c r="X47" s="1">
        <v>2.1502</v>
      </c>
      <c r="Y47" s="1">
        <v>0.737</v>
      </c>
      <c r="Z47" s="1">
        <v>0.1416</v>
      </c>
      <c r="AA47" s="1">
        <v>0.0801</v>
      </c>
      <c r="AB47" s="1">
        <v>0.5776</v>
      </c>
      <c r="AC47" s="1">
        <v>0.0864</v>
      </c>
      <c r="AD47" s="1">
        <v>0.0188</v>
      </c>
      <c r="AE47" s="1">
        <v>0.0168</v>
      </c>
      <c r="AF47" s="1" t="s">
        <v>96</v>
      </c>
      <c r="AG47" s="1">
        <v>0.0118</v>
      </c>
      <c r="AH47" s="1">
        <v>0.0476</v>
      </c>
      <c r="AI47" s="1">
        <v>0.0174</v>
      </c>
      <c r="AJ47" s="1">
        <v>4.0509</v>
      </c>
      <c r="AK47" s="1">
        <v>0.0819</v>
      </c>
      <c r="AL47" s="1" t="s">
        <v>96</v>
      </c>
      <c r="AM47" s="1">
        <v>0.0186</v>
      </c>
      <c r="AN47" s="1" t="s">
        <v>96</v>
      </c>
      <c r="AO47" s="1">
        <v>0.0037</v>
      </c>
      <c r="AP47" s="1">
        <v>0.0089</v>
      </c>
      <c r="AQ47" s="1">
        <v>0.002</v>
      </c>
      <c r="AR47" s="1">
        <v>0.0066</v>
      </c>
      <c r="AS47" s="1">
        <v>0.0021</v>
      </c>
      <c r="AT47" s="1">
        <v>0.0072</v>
      </c>
      <c r="AU47" s="1">
        <v>0.0046</v>
      </c>
      <c r="AV47" s="1" t="s">
        <v>96</v>
      </c>
      <c r="AW47" s="1">
        <v>0.0053</v>
      </c>
      <c r="AX47" s="1" t="s">
        <v>96</v>
      </c>
      <c r="AY47" s="1">
        <v>5.0E-4</v>
      </c>
      <c r="AZ47" s="1">
        <v>0.0113</v>
      </c>
      <c r="BA47" s="1">
        <v>0.0013</v>
      </c>
      <c r="BB47" s="1">
        <v>0.001</v>
      </c>
      <c r="BC47" s="1">
        <v>5.0E-4</v>
      </c>
      <c r="BD47" s="1">
        <v>0.0028</v>
      </c>
      <c r="BE47" s="1">
        <f t="shared" si="1"/>
        <v>28</v>
      </c>
      <c r="BF47" s="3">
        <f t="shared" si="2"/>
        <v>32.2</v>
      </c>
      <c r="BG47" s="1">
        <v>5.0E-4</v>
      </c>
      <c r="BH47" s="1"/>
      <c r="BI47" s="1">
        <v>0.019</v>
      </c>
      <c r="BJ47" s="1">
        <v>0.0012</v>
      </c>
      <c r="BK47" s="1" t="s">
        <v>96</v>
      </c>
      <c r="BL47" s="1">
        <v>0.0044</v>
      </c>
      <c r="BM47" s="1" t="s">
        <v>96</v>
      </c>
      <c r="BN47" s="1">
        <v>0.0028</v>
      </c>
      <c r="BO47" s="1" t="s">
        <v>96</v>
      </c>
      <c r="BP47" s="1">
        <v>0.0162</v>
      </c>
      <c r="BQ47" s="1" t="s">
        <v>96</v>
      </c>
      <c r="BR47" s="1">
        <v>0.0027</v>
      </c>
      <c r="BS47" s="1">
        <v>0.0057</v>
      </c>
      <c r="BT47" s="1">
        <v>0.0035</v>
      </c>
      <c r="BU47" s="1" t="s">
        <v>96</v>
      </c>
      <c r="BV47" s="1">
        <v>0.0048</v>
      </c>
      <c r="BW47" s="1" t="s">
        <v>96</v>
      </c>
      <c r="BX47" s="1">
        <v>0.0039</v>
      </c>
      <c r="BY47" s="1" t="s">
        <v>96</v>
      </c>
      <c r="BZ47" s="1">
        <v>0.0012</v>
      </c>
      <c r="CA47" s="1">
        <v>0.0199</v>
      </c>
      <c r="CB47" s="1">
        <v>0.0116</v>
      </c>
      <c r="CC47" s="1" t="s">
        <v>96</v>
      </c>
      <c r="CD47" s="1">
        <v>0.0029</v>
      </c>
      <c r="CE47" s="1"/>
      <c r="CF47" s="1"/>
      <c r="CG47" s="1" t="s">
        <v>96</v>
      </c>
      <c r="CH47" s="1">
        <v>2.0E-4</v>
      </c>
      <c r="CI47" s="1" t="s">
        <v>96</v>
      </c>
      <c r="CJ47" s="1">
        <v>0.0014</v>
      </c>
      <c r="CK47" s="1" t="s">
        <v>96</v>
      </c>
      <c r="CL47" s="1">
        <v>0.0022</v>
      </c>
      <c r="CM47" s="1" t="s">
        <v>96</v>
      </c>
      <c r="CN47" s="1">
        <v>0.002</v>
      </c>
      <c r="CO47" s="1">
        <v>0.0013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</row>
    <row r="48" ht="14.25" customHeight="1">
      <c r="A48" s="1" t="s">
        <v>155</v>
      </c>
      <c r="B48" s="1">
        <v>1139905.0</v>
      </c>
      <c r="C48" s="3">
        <v>353.816498</v>
      </c>
      <c r="D48" s="3">
        <v>713547.427272</v>
      </c>
      <c r="E48" s="3">
        <v>5985583.929819</v>
      </c>
      <c r="F48" s="4">
        <v>0.0</v>
      </c>
      <c r="G48" s="4">
        <v>1.0</v>
      </c>
      <c r="H48" s="4" t="s">
        <v>106</v>
      </c>
      <c r="I48" s="1" t="s">
        <v>151</v>
      </c>
      <c r="J48" s="1"/>
      <c r="K48" s="1"/>
      <c r="L48" s="1"/>
      <c r="M48" s="2" t="s">
        <v>156</v>
      </c>
      <c r="N48" s="2" t="s">
        <v>135</v>
      </c>
      <c r="O48" s="1" t="s">
        <v>123</v>
      </c>
      <c r="P48" s="1"/>
      <c r="Q48" s="1"/>
      <c r="R48" s="1">
        <v>7.402</v>
      </c>
      <c r="S48" s="1">
        <v>0.1704</v>
      </c>
      <c r="T48" s="1">
        <v>13.0445</v>
      </c>
      <c r="U48" s="1">
        <v>0.1356</v>
      </c>
      <c r="V48" s="1" t="s">
        <v>96</v>
      </c>
      <c r="W48" s="1">
        <v>0.912</v>
      </c>
      <c r="X48" s="1">
        <v>0.8887</v>
      </c>
      <c r="Y48" s="1">
        <v>0.5334</v>
      </c>
      <c r="Z48" s="1">
        <v>0.0716</v>
      </c>
      <c r="AA48" s="1">
        <v>0.0632</v>
      </c>
      <c r="AB48" s="1">
        <v>0.3109</v>
      </c>
      <c r="AC48" s="1">
        <v>0.0677</v>
      </c>
      <c r="AD48" s="1" t="s">
        <v>96</v>
      </c>
      <c r="AE48" s="1">
        <v>0.014</v>
      </c>
      <c r="AF48" s="1"/>
      <c r="AG48" s="1"/>
      <c r="AH48" s="1">
        <v>0.0261</v>
      </c>
      <c r="AI48" s="1">
        <v>0.0142</v>
      </c>
      <c r="AJ48" s="1">
        <v>3.0873</v>
      </c>
      <c r="AK48" s="1">
        <v>0.0724</v>
      </c>
      <c r="AL48" s="1" t="s">
        <v>96</v>
      </c>
      <c r="AM48" s="1">
        <v>0.0155</v>
      </c>
      <c r="AN48" s="1" t="s">
        <v>96</v>
      </c>
      <c r="AO48" s="1">
        <v>0.003</v>
      </c>
      <c r="AP48" s="1">
        <v>0.0056</v>
      </c>
      <c r="AQ48" s="1">
        <v>0.0017</v>
      </c>
      <c r="AR48" s="1">
        <v>0.0051</v>
      </c>
      <c r="AS48" s="1">
        <v>0.0019</v>
      </c>
      <c r="AT48" s="1">
        <v>0.0057</v>
      </c>
      <c r="AU48" s="1">
        <v>0.0045</v>
      </c>
      <c r="AV48" s="1" t="s">
        <v>96</v>
      </c>
      <c r="AW48" s="1">
        <v>0.005</v>
      </c>
      <c r="AX48" s="1" t="s">
        <v>96</v>
      </c>
      <c r="AY48" s="1">
        <v>4.0E-4</v>
      </c>
      <c r="AZ48" s="1">
        <v>0.0102</v>
      </c>
      <c r="BA48" s="1">
        <v>0.0012</v>
      </c>
      <c r="BB48" s="1">
        <v>0.0014</v>
      </c>
      <c r="BC48" s="1">
        <v>6.0E-4</v>
      </c>
      <c r="BD48" s="1">
        <v>0.0027</v>
      </c>
      <c r="BE48" s="1">
        <f t="shared" si="1"/>
        <v>27</v>
      </c>
      <c r="BF48" s="3">
        <f t="shared" si="2"/>
        <v>31.05</v>
      </c>
      <c r="BG48" s="1">
        <v>5.0E-4</v>
      </c>
      <c r="BH48" s="1"/>
      <c r="BI48" s="1">
        <v>0.0227</v>
      </c>
      <c r="BJ48" s="1">
        <v>0.0014</v>
      </c>
      <c r="BK48" s="1" t="s">
        <v>96</v>
      </c>
      <c r="BL48" s="1">
        <v>0.0042</v>
      </c>
      <c r="BM48" s="1" t="s">
        <v>96</v>
      </c>
      <c r="BN48" s="1">
        <v>0.0027</v>
      </c>
      <c r="BO48" s="1" t="s">
        <v>96</v>
      </c>
      <c r="BP48" s="1">
        <v>0.0156</v>
      </c>
      <c r="BQ48" s="1" t="s">
        <v>96</v>
      </c>
      <c r="BR48" s="1">
        <v>0.0028</v>
      </c>
      <c r="BS48" s="1" t="s">
        <v>96</v>
      </c>
      <c r="BT48" s="1">
        <v>0.0035</v>
      </c>
      <c r="BU48" s="1" t="s">
        <v>96</v>
      </c>
      <c r="BV48" s="1">
        <v>0.0048</v>
      </c>
      <c r="BW48" s="1" t="s">
        <v>96</v>
      </c>
      <c r="BX48" s="1">
        <v>0.004</v>
      </c>
      <c r="BY48" s="1" t="s">
        <v>96</v>
      </c>
      <c r="BZ48" s="1">
        <v>0.0012</v>
      </c>
      <c r="CA48" s="1">
        <v>0.0359</v>
      </c>
      <c r="CB48" s="1">
        <v>0.0115</v>
      </c>
      <c r="CC48" s="1" t="s">
        <v>96</v>
      </c>
      <c r="CD48" s="1">
        <v>0.0031</v>
      </c>
      <c r="CE48" s="1" t="s">
        <v>96</v>
      </c>
      <c r="CF48" s="1">
        <v>0.0067</v>
      </c>
      <c r="CG48" s="1" t="s">
        <v>96</v>
      </c>
      <c r="CH48" s="1">
        <v>2.0E-4</v>
      </c>
      <c r="CI48" s="1"/>
      <c r="CJ48" s="1"/>
      <c r="CK48" s="1">
        <v>0.0023</v>
      </c>
      <c r="CL48" s="1">
        <v>0.0022</v>
      </c>
      <c r="CM48" s="1">
        <v>0.003</v>
      </c>
      <c r="CN48" s="1">
        <v>0.0021</v>
      </c>
      <c r="CO48" s="1">
        <v>0.0016</v>
      </c>
      <c r="CP48" s="1"/>
      <c r="CQ48" s="1"/>
      <c r="CR48" s="1"/>
      <c r="CS48" s="1"/>
      <c r="CT48" s="1"/>
      <c r="CU48" s="1"/>
      <c r="CV48" s="1"/>
      <c r="CW48" s="1"/>
      <c r="CX48" s="1"/>
      <c r="CY48" s="1"/>
    </row>
    <row r="49" ht="14.25" customHeight="1">
      <c r="A49" s="1" t="s">
        <v>157</v>
      </c>
      <c r="B49" s="1">
        <v>1139906.0</v>
      </c>
      <c r="C49" s="3">
        <v>257.52359</v>
      </c>
      <c r="D49" s="3">
        <v>718636.600999</v>
      </c>
      <c r="E49" s="3">
        <v>5982221.990391</v>
      </c>
      <c r="F49" s="4">
        <v>0.0</v>
      </c>
      <c r="G49" s="4">
        <v>1.0</v>
      </c>
      <c r="H49" s="8" t="s">
        <v>150</v>
      </c>
      <c r="I49" s="1" t="s">
        <v>118</v>
      </c>
      <c r="J49" s="1"/>
      <c r="K49" s="1"/>
      <c r="L49" s="1"/>
      <c r="M49" s="2" t="s">
        <v>158</v>
      </c>
      <c r="N49" s="2" t="s">
        <v>114</v>
      </c>
      <c r="O49" s="1" t="s">
        <v>123</v>
      </c>
      <c r="P49" s="1"/>
      <c r="Q49" s="1"/>
      <c r="R49" s="1">
        <v>6.6303</v>
      </c>
      <c r="S49" s="1">
        <v>0.2206</v>
      </c>
      <c r="T49" s="1">
        <v>20.7667</v>
      </c>
      <c r="U49" s="1">
        <v>0.2201</v>
      </c>
      <c r="V49" s="1" t="s">
        <v>96</v>
      </c>
      <c r="W49" s="1">
        <v>1.1939</v>
      </c>
      <c r="X49" s="1">
        <v>1.6312</v>
      </c>
      <c r="Y49" s="1">
        <v>0.6731</v>
      </c>
      <c r="Z49" s="1">
        <v>1.5297</v>
      </c>
      <c r="AA49" s="1">
        <v>0.2086</v>
      </c>
      <c r="AB49" s="1">
        <v>0.462</v>
      </c>
      <c r="AC49" s="1">
        <v>0.0819</v>
      </c>
      <c r="AD49" s="1" t="s">
        <v>96</v>
      </c>
      <c r="AE49" s="1">
        <v>0.0155</v>
      </c>
      <c r="AF49" s="1" t="s">
        <v>96</v>
      </c>
      <c r="AG49" s="1">
        <v>0.0107</v>
      </c>
      <c r="AH49" s="1">
        <v>0.0897</v>
      </c>
      <c r="AI49" s="1">
        <v>0.0208</v>
      </c>
      <c r="AJ49" s="1">
        <v>3.2414</v>
      </c>
      <c r="AK49" s="1">
        <v>0.0709</v>
      </c>
      <c r="AL49" s="1" t="s">
        <v>96</v>
      </c>
      <c r="AM49" s="1">
        <v>0.017</v>
      </c>
      <c r="AN49" s="1" t="s">
        <v>96</v>
      </c>
      <c r="AO49" s="1">
        <v>0.0032</v>
      </c>
      <c r="AP49" s="1">
        <v>0.0066</v>
      </c>
      <c r="AQ49" s="1">
        <v>0.0016</v>
      </c>
      <c r="AR49" s="1">
        <v>0.005</v>
      </c>
      <c r="AS49" s="1">
        <v>0.0017</v>
      </c>
      <c r="AT49" s="1">
        <v>0.0042</v>
      </c>
      <c r="AU49" s="1">
        <v>0.0039</v>
      </c>
      <c r="AV49" s="1" t="s">
        <v>96</v>
      </c>
      <c r="AW49" s="1">
        <v>0.005</v>
      </c>
      <c r="AX49" s="1" t="s">
        <v>96</v>
      </c>
      <c r="AY49" s="1">
        <v>4.0E-4</v>
      </c>
      <c r="AZ49" s="1">
        <v>0.01</v>
      </c>
      <c r="BA49" s="1">
        <v>0.0012</v>
      </c>
      <c r="BB49" s="1">
        <v>0.0188</v>
      </c>
      <c r="BC49" s="1">
        <v>0.0014</v>
      </c>
      <c r="BD49" s="1">
        <v>0.0021</v>
      </c>
      <c r="BE49" s="1">
        <f t="shared" si="1"/>
        <v>21</v>
      </c>
      <c r="BF49" s="3">
        <f t="shared" si="2"/>
        <v>24.15</v>
      </c>
      <c r="BG49" s="1">
        <v>4.0E-4</v>
      </c>
      <c r="BH49" s="1"/>
      <c r="BI49" s="1">
        <v>0.0099</v>
      </c>
      <c r="BJ49" s="1">
        <v>0.001</v>
      </c>
      <c r="BK49" s="1" t="s">
        <v>96</v>
      </c>
      <c r="BL49" s="1">
        <v>0.0046</v>
      </c>
      <c r="BM49" s="1" t="s">
        <v>96</v>
      </c>
      <c r="BN49" s="1">
        <v>0.0029</v>
      </c>
      <c r="BO49" s="1" t="s">
        <v>96</v>
      </c>
      <c r="BP49" s="1">
        <v>0.0176</v>
      </c>
      <c r="BQ49" s="1" t="s">
        <v>96</v>
      </c>
      <c r="BR49" s="1">
        <v>0.0028</v>
      </c>
      <c r="BS49" s="1">
        <v>0.0099</v>
      </c>
      <c r="BT49" s="1">
        <v>0.0035</v>
      </c>
      <c r="BU49" s="1" t="s">
        <v>96</v>
      </c>
      <c r="BV49" s="1">
        <v>0.0049</v>
      </c>
      <c r="BW49" s="1" t="s">
        <v>96</v>
      </c>
      <c r="BX49" s="1">
        <v>0.0039</v>
      </c>
      <c r="BY49" s="1" t="s">
        <v>96</v>
      </c>
      <c r="BZ49" s="1">
        <v>0.0012</v>
      </c>
      <c r="CA49" s="1">
        <v>0.0586</v>
      </c>
      <c r="CB49" s="1">
        <v>0.0123</v>
      </c>
      <c r="CC49" s="1" t="s">
        <v>96</v>
      </c>
      <c r="CD49" s="1">
        <v>0.0023</v>
      </c>
      <c r="CE49" s="1"/>
      <c r="CF49" s="1"/>
      <c r="CG49" s="1" t="s">
        <v>96</v>
      </c>
      <c r="CH49" s="1">
        <v>2.0E-4</v>
      </c>
      <c r="CI49" s="1"/>
      <c r="CJ49" s="1"/>
      <c r="CK49" s="1" t="s">
        <v>96</v>
      </c>
      <c r="CL49" s="1">
        <v>0.0022</v>
      </c>
      <c r="CM49" s="1" t="s">
        <v>96</v>
      </c>
      <c r="CN49" s="1">
        <v>0.0019</v>
      </c>
      <c r="CO49" s="1">
        <v>9.0E-4</v>
      </c>
      <c r="CP49" s="1"/>
      <c r="CQ49" s="1"/>
      <c r="CR49" s="1"/>
      <c r="CS49" s="1"/>
      <c r="CT49" s="1"/>
      <c r="CU49" s="1"/>
      <c r="CV49" s="1"/>
      <c r="CW49" s="1"/>
      <c r="CX49" s="1"/>
      <c r="CY49" s="1"/>
    </row>
    <row r="50" ht="14.25" customHeight="1">
      <c r="A50" s="1" t="s">
        <v>157</v>
      </c>
      <c r="B50" s="1">
        <v>1139907.0</v>
      </c>
      <c r="C50" s="3">
        <v>257.52359</v>
      </c>
      <c r="D50" s="3">
        <v>718636.600999</v>
      </c>
      <c r="E50" s="3">
        <v>5982221.990391</v>
      </c>
      <c r="F50" s="3">
        <v>1.0</v>
      </c>
      <c r="G50" s="3">
        <v>2.0</v>
      </c>
      <c r="H50" s="4"/>
      <c r="I50" s="1" t="s">
        <v>118</v>
      </c>
      <c r="J50" s="1"/>
      <c r="K50" s="1"/>
      <c r="L50" s="1"/>
      <c r="M50" s="2" t="s">
        <v>158</v>
      </c>
      <c r="N50" s="2" t="s">
        <v>114</v>
      </c>
      <c r="O50" s="1" t="s">
        <v>123</v>
      </c>
      <c r="P50" s="1"/>
      <c r="Q50" s="1"/>
      <c r="R50" s="1">
        <v>9.373</v>
      </c>
      <c r="S50" s="1">
        <v>0.2852</v>
      </c>
      <c r="T50" s="1">
        <v>21.1593</v>
      </c>
      <c r="U50" s="1">
        <v>0.2529</v>
      </c>
      <c r="V50" s="1" t="s">
        <v>96</v>
      </c>
      <c r="W50" s="1">
        <v>1.1663</v>
      </c>
      <c r="X50" s="1">
        <v>1.4232</v>
      </c>
      <c r="Y50" s="1">
        <v>0.645</v>
      </c>
      <c r="Z50" s="1">
        <v>1.6101</v>
      </c>
      <c r="AA50" s="1">
        <v>0.2139</v>
      </c>
      <c r="AB50" s="1">
        <v>0.3053</v>
      </c>
      <c r="AC50" s="1">
        <v>0.0764</v>
      </c>
      <c r="AD50" s="1" t="s">
        <v>96</v>
      </c>
      <c r="AE50" s="1">
        <v>0.0144</v>
      </c>
      <c r="AF50" s="1" t="s">
        <v>96</v>
      </c>
      <c r="AG50" s="1">
        <v>0.0106</v>
      </c>
      <c r="AH50" s="1">
        <v>0.0775</v>
      </c>
      <c r="AI50" s="1">
        <v>0.0201</v>
      </c>
      <c r="AJ50" s="1">
        <v>3.7804</v>
      </c>
      <c r="AK50" s="1">
        <v>0.086</v>
      </c>
      <c r="AL50" s="1" t="s">
        <v>96</v>
      </c>
      <c r="AM50" s="1">
        <v>0.0159</v>
      </c>
      <c r="AN50" s="1" t="s">
        <v>96</v>
      </c>
      <c r="AO50" s="1">
        <v>0.0033</v>
      </c>
      <c r="AP50" s="1">
        <v>0.0055</v>
      </c>
      <c r="AQ50" s="1">
        <v>0.0019</v>
      </c>
      <c r="AR50" s="1">
        <v>0.0046</v>
      </c>
      <c r="AS50" s="1">
        <v>0.002</v>
      </c>
      <c r="AT50" s="1">
        <v>0.0048</v>
      </c>
      <c r="AU50" s="1">
        <v>0.0039</v>
      </c>
      <c r="AV50" s="1" t="s">
        <v>96</v>
      </c>
      <c r="AW50" s="1">
        <v>0.0067</v>
      </c>
      <c r="AX50" s="1" t="s">
        <v>96</v>
      </c>
      <c r="AY50" s="1">
        <v>6.0E-4</v>
      </c>
      <c r="AZ50" s="1">
        <v>0.0151</v>
      </c>
      <c r="BA50" s="1">
        <v>0.0016</v>
      </c>
      <c r="BB50" s="1">
        <v>0.0258</v>
      </c>
      <c r="BC50" s="1">
        <v>0.0019</v>
      </c>
      <c r="BD50" s="1">
        <v>0.0032</v>
      </c>
      <c r="BE50" s="1">
        <f t="shared" si="1"/>
        <v>32</v>
      </c>
      <c r="BF50" s="3">
        <f t="shared" si="2"/>
        <v>36.8</v>
      </c>
      <c r="BG50" s="1">
        <v>6.0E-4</v>
      </c>
      <c r="BH50" s="1"/>
      <c r="BI50" s="1">
        <v>0.0201</v>
      </c>
      <c r="BJ50" s="1">
        <v>0.0015</v>
      </c>
      <c r="BK50" s="1" t="s">
        <v>96</v>
      </c>
      <c r="BL50" s="1">
        <v>0.0045</v>
      </c>
      <c r="BM50" s="1" t="s">
        <v>96</v>
      </c>
      <c r="BN50" s="1">
        <v>0.0026</v>
      </c>
      <c r="BO50" s="1" t="s">
        <v>96</v>
      </c>
      <c r="BP50" s="1">
        <v>0.0162</v>
      </c>
      <c r="BQ50" s="1" t="s">
        <v>96</v>
      </c>
      <c r="BR50" s="1">
        <v>0.0033</v>
      </c>
      <c r="BS50" s="1">
        <v>0.0287</v>
      </c>
      <c r="BT50" s="1">
        <v>0.0043</v>
      </c>
      <c r="BU50" s="1" t="s">
        <v>96</v>
      </c>
      <c r="BV50" s="1">
        <v>0.0059</v>
      </c>
      <c r="BW50" s="1" t="s">
        <v>96</v>
      </c>
      <c r="BX50" s="1">
        <v>0.0048</v>
      </c>
      <c r="BY50" s="1">
        <v>0.0016</v>
      </c>
      <c r="BZ50" s="1">
        <v>0.0016</v>
      </c>
      <c r="CA50" s="1">
        <v>0.1591</v>
      </c>
      <c r="CB50" s="1">
        <v>0.0168</v>
      </c>
      <c r="CC50" s="1" t="s">
        <v>96</v>
      </c>
      <c r="CD50" s="1">
        <v>0.0033</v>
      </c>
      <c r="CE50" s="1"/>
      <c r="CF50" s="1"/>
      <c r="CG50" s="1" t="s">
        <v>96</v>
      </c>
      <c r="CH50" s="1">
        <v>2.0E-4</v>
      </c>
      <c r="CI50" s="1"/>
      <c r="CJ50" s="1"/>
      <c r="CK50" s="1" t="s">
        <v>96</v>
      </c>
      <c r="CL50" s="1">
        <v>0.0028</v>
      </c>
      <c r="CM50" s="1" t="s">
        <v>96</v>
      </c>
      <c r="CN50" s="1">
        <v>0.0024</v>
      </c>
      <c r="CO50" s="1">
        <v>0.0018</v>
      </c>
      <c r="CP50" s="1"/>
      <c r="CQ50" s="1"/>
      <c r="CR50" s="1"/>
      <c r="CS50" s="1"/>
      <c r="CT50" s="1"/>
      <c r="CU50" s="1"/>
      <c r="CV50" s="1"/>
      <c r="CW50" s="1"/>
      <c r="CX50" s="1"/>
      <c r="CY50" s="1"/>
    </row>
    <row r="51" ht="14.25" customHeight="1">
      <c r="A51" s="1" t="s">
        <v>159</v>
      </c>
      <c r="B51" s="1">
        <v>1139908.0</v>
      </c>
      <c r="C51" s="3">
        <v>516.621277</v>
      </c>
      <c r="D51" s="3">
        <v>706296.887363</v>
      </c>
      <c r="E51" s="3">
        <v>5981425.2691</v>
      </c>
      <c r="F51" s="4">
        <v>0.0</v>
      </c>
      <c r="G51" s="4">
        <v>0.7</v>
      </c>
      <c r="H51" s="8" t="s">
        <v>160</v>
      </c>
      <c r="I51" s="1" t="s">
        <v>151</v>
      </c>
      <c r="J51" s="1"/>
      <c r="K51" s="1"/>
      <c r="L51" s="1"/>
      <c r="M51" s="2" t="s">
        <v>161</v>
      </c>
      <c r="N51" s="2"/>
      <c r="O51" s="1" t="s">
        <v>123</v>
      </c>
      <c r="P51" s="1"/>
      <c r="Q51" s="1"/>
      <c r="R51" s="1">
        <v>6.1133</v>
      </c>
      <c r="S51" s="1">
        <v>0.1397</v>
      </c>
      <c r="T51" s="1">
        <v>9.7609</v>
      </c>
      <c r="U51" s="1">
        <v>0.1031</v>
      </c>
      <c r="V51" s="1" t="s">
        <v>96</v>
      </c>
      <c r="W51" s="1">
        <v>0.9114</v>
      </c>
      <c r="X51" s="1">
        <v>0.4613</v>
      </c>
      <c r="Y51" s="1">
        <v>0.4265</v>
      </c>
      <c r="Z51" s="1" t="s">
        <v>96</v>
      </c>
      <c r="AA51" s="1">
        <v>0.0546</v>
      </c>
      <c r="AB51" s="1">
        <v>0.2899</v>
      </c>
      <c r="AC51" s="1">
        <v>0.0646</v>
      </c>
      <c r="AD51" s="1" t="s">
        <v>96</v>
      </c>
      <c r="AE51" s="1">
        <v>0.0126</v>
      </c>
      <c r="AF51" s="1"/>
      <c r="AG51" s="1"/>
      <c r="AH51" s="1">
        <v>0.0483</v>
      </c>
      <c r="AI51" s="1">
        <v>0.016</v>
      </c>
      <c r="AJ51" s="1">
        <v>3.9436</v>
      </c>
      <c r="AK51" s="1">
        <v>0.09</v>
      </c>
      <c r="AL51" s="1" t="s">
        <v>96</v>
      </c>
      <c r="AM51" s="1">
        <v>0.0159</v>
      </c>
      <c r="AN51" s="1" t="s">
        <v>96</v>
      </c>
      <c r="AO51" s="1">
        <v>0.0031</v>
      </c>
      <c r="AP51" s="1">
        <v>0.0102</v>
      </c>
      <c r="AQ51" s="1">
        <v>0.0023</v>
      </c>
      <c r="AR51" s="1">
        <v>0.0061</v>
      </c>
      <c r="AS51" s="1">
        <v>0.0022</v>
      </c>
      <c r="AT51" s="1">
        <v>0.0047</v>
      </c>
      <c r="AU51" s="1">
        <v>0.0039</v>
      </c>
      <c r="AV51" s="1" t="s">
        <v>96</v>
      </c>
      <c r="AW51" s="1">
        <v>0.0059</v>
      </c>
      <c r="AX51" s="1" t="s">
        <v>96</v>
      </c>
      <c r="AY51" s="1">
        <v>5.0E-4</v>
      </c>
      <c r="AZ51" s="1">
        <v>0.0051</v>
      </c>
      <c r="BA51" s="1">
        <v>0.001</v>
      </c>
      <c r="BB51" s="1" t="s">
        <v>96</v>
      </c>
      <c r="BC51" s="1">
        <v>5.0E-4</v>
      </c>
      <c r="BD51" s="1">
        <v>0.0013</v>
      </c>
      <c r="BE51" s="1">
        <f t="shared" si="1"/>
        <v>13</v>
      </c>
      <c r="BF51" s="3">
        <f t="shared" si="2"/>
        <v>14.95</v>
      </c>
      <c r="BG51" s="1">
        <v>4.0E-4</v>
      </c>
      <c r="BH51" s="1"/>
      <c r="BI51" s="1">
        <v>0.0125</v>
      </c>
      <c r="BJ51" s="1">
        <v>0.0012</v>
      </c>
      <c r="BK51" s="1" t="s">
        <v>96</v>
      </c>
      <c r="BL51" s="1">
        <v>0.004</v>
      </c>
      <c r="BM51" s="1"/>
      <c r="BN51" s="1"/>
      <c r="BO51" s="1" t="s">
        <v>96</v>
      </c>
      <c r="BP51" s="1">
        <v>0.014</v>
      </c>
      <c r="BQ51" s="1" t="s">
        <v>96</v>
      </c>
      <c r="BR51" s="1">
        <v>0.0031</v>
      </c>
      <c r="BS51" s="1">
        <v>0.0092</v>
      </c>
      <c r="BT51" s="1">
        <v>0.004</v>
      </c>
      <c r="BU51" s="1" t="s">
        <v>96</v>
      </c>
      <c r="BV51" s="1">
        <v>0.0055</v>
      </c>
      <c r="BW51" s="1" t="s">
        <v>96</v>
      </c>
      <c r="BX51" s="1">
        <v>0.0045</v>
      </c>
      <c r="BY51" s="1" t="s">
        <v>96</v>
      </c>
      <c r="BZ51" s="1">
        <v>0.0014</v>
      </c>
      <c r="CA51" s="1">
        <v>0.0237</v>
      </c>
      <c r="CB51" s="1">
        <v>0.0129</v>
      </c>
      <c r="CC51" s="1" t="s">
        <v>96</v>
      </c>
      <c r="CD51" s="1">
        <v>0.0032</v>
      </c>
      <c r="CE51" s="1" t="s">
        <v>96</v>
      </c>
      <c r="CF51" s="1">
        <v>0.0067</v>
      </c>
      <c r="CG51" s="1" t="s">
        <v>96</v>
      </c>
      <c r="CH51" s="1">
        <v>2.0E-4</v>
      </c>
      <c r="CI51" s="1"/>
      <c r="CJ51" s="1"/>
      <c r="CK51" s="1" t="s">
        <v>96</v>
      </c>
      <c r="CL51" s="1">
        <v>0.0026</v>
      </c>
      <c r="CM51" s="1" t="s">
        <v>96</v>
      </c>
      <c r="CN51" s="1">
        <v>0.0022</v>
      </c>
      <c r="CO51" s="1" t="s">
        <v>96</v>
      </c>
      <c r="CP51" s="1"/>
      <c r="CQ51" s="1"/>
      <c r="CR51" s="1"/>
      <c r="CS51" s="1"/>
      <c r="CT51" s="1"/>
      <c r="CU51" s="1"/>
      <c r="CV51" s="1"/>
      <c r="CW51" s="1"/>
      <c r="CX51" s="1"/>
      <c r="CY51" s="1"/>
    </row>
    <row r="52" ht="14.25" customHeight="1">
      <c r="A52" s="1" t="s">
        <v>159</v>
      </c>
      <c r="B52" s="1">
        <v>1140009.0</v>
      </c>
      <c r="C52" s="3">
        <v>516.621277</v>
      </c>
      <c r="D52" s="3">
        <v>706296.887363</v>
      </c>
      <c r="E52" s="3">
        <v>5981425.2691</v>
      </c>
      <c r="F52" s="6">
        <v>0.7</v>
      </c>
      <c r="G52" s="3">
        <v>1.5</v>
      </c>
      <c r="H52" s="1" t="s">
        <v>160</v>
      </c>
      <c r="I52" s="1" t="s">
        <v>151</v>
      </c>
      <c r="J52" s="1"/>
      <c r="K52" s="1"/>
      <c r="L52" s="1"/>
      <c r="M52" s="2"/>
      <c r="N52" s="2"/>
      <c r="O52" s="1" t="s">
        <v>115</v>
      </c>
      <c r="P52" s="1"/>
      <c r="Q52" s="1"/>
      <c r="R52" s="1">
        <v>10.1306</v>
      </c>
      <c r="S52" s="1">
        <v>0.2128</v>
      </c>
      <c r="T52" s="1">
        <v>10.8989</v>
      </c>
      <c r="U52" s="1">
        <v>0.1393</v>
      </c>
      <c r="V52" s="1" t="s">
        <v>96</v>
      </c>
      <c r="W52" s="1">
        <v>0.942</v>
      </c>
      <c r="X52" s="1">
        <v>1.0296</v>
      </c>
      <c r="Y52" s="1">
        <v>0.5428</v>
      </c>
      <c r="Z52" s="1">
        <v>0.1087</v>
      </c>
      <c r="AA52" s="1">
        <v>0.0678</v>
      </c>
      <c r="AB52" s="1">
        <v>0.3502</v>
      </c>
      <c r="AC52" s="1">
        <v>0.0694</v>
      </c>
      <c r="AD52" s="1" t="s">
        <v>96</v>
      </c>
      <c r="AE52" s="1">
        <v>0.0134</v>
      </c>
      <c r="AF52" s="1"/>
      <c r="AG52" s="1"/>
      <c r="AH52" s="1">
        <v>0.0365</v>
      </c>
      <c r="AI52" s="1">
        <v>0.0153</v>
      </c>
      <c r="AJ52" s="1">
        <v>3.7855</v>
      </c>
      <c r="AK52" s="1">
        <v>0.0883</v>
      </c>
      <c r="AL52" s="1" t="s">
        <v>96</v>
      </c>
      <c r="AM52" s="1">
        <v>0.0156</v>
      </c>
      <c r="AN52" s="1" t="s">
        <v>96</v>
      </c>
      <c r="AO52" s="1">
        <v>0.0037</v>
      </c>
      <c r="AP52" s="1">
        <v>0.0113</v>
      </c>
      <c r="AQ52" s="1">
        <v>0.0027</v>
      </c>
      <c r="AR52" s="1">
        <v>0.0068</v>
      </c>
      <c r="AS52" s="1">
        <v>0.0024</v>
      </c>
      <c r="AT52" s="1">
        <v>0.0063</v>
      </c>
      <c r="AU52" s="1">
        <v>0.0044</v>
      </c>
      <c r="AV52" s="1" t="s">
        <v>96</v>
      </c>
      <c r="AW52" s="1">
        <v>0.0063</v>
      </c>
      <c r="AX52" s="1" t="s">
        <v>96</v>
      </c>
      <c r="AY52" s="1">
        <v>5.0E-4</v>
      </c>
      <c r="AZ52" s="1">
        <v>0.0074</v>
      </c>
      <c r="BA52" s="1">
        <v>0.0012</v>
      </c>
      <c r="BB52" s="1">
        <v>7.0E-4</v>
      </c>
      <c r="BC52" s="1">
        <v>6.0E-4</v>
      </c>
      <c r="BD52" s="1">
        <v>0.0014</v>
      </c>
      <c r="BE52" s="1">
        <f t="shared" si="1"/>
        <v>14</v>
      </c>
      <c r="BF52" s="3">
        <f t="shared" si="2"/>
        <v>16.1</v>
      </c>
      <c r="BG52" s="1">
        <v>5.0E-4</v>
      </c>
      <c r="BH52" s="1"/>
      <c r="BI52" s="1">
        <v>0.0285</v>
      </c>
      <c r="BJ52" s="1">
        <v>0.0011</v>
      </c>
      <c r="BK52" s="1" t="s">
        <v>96</v>
      </c>
      <c r="BL52" s="1">
        <v>0.0038</v>
      </c>
      <c r="BM52" s="1" t="s">
        <v>96</v>
      </c>
      <c r="BN52" s="1">
        <v>0.0022</v>
      </c>
      <c r="BO52" s="1" t="s">
        <v>96</v>
      </c>
      <c r="BP52" s="1">
        <v>0.0142</v>
      </c>
      <c r="BQ52" s="1" t="s">
        <v>96</v>
      </c>
      <c r="BR52" s="1">
        <v>0.0023</v>
      </c>
      <c r="BS52" s="1">
        <v>0.0219</v>
      </c>
      <c r="BT52" s="1">
        <v>0.003</v>
      </c>
      <c r="BU52" s="1" t="s">
        <v>96</v>
      </c>
      <c r="BV52" s="1">
        <v>0.004</v>
      </c>
      <c r="BW52" s="1" t="s">
        <v>96</v>
      </c>
      <c r="BX52" s="1">
        <v>0.0033</v>
      </c>
      <c r="BY52" s="1" t="s">
        <v>96</v>
      </c>
      <c r="BZ52" s="1">
        <v>0.001</v>
      </c>
      <c r="CA52" s="1">
        <v>0.0748</v>
      </c>
      <c r="CB52" s="1">
        <v>0.0104</v>
      </c>
      <c r="CC52" s="1" t="s">
        <v>96</v>
      </c>
      <c r="CD52" s="1">
        <v>0.0018</v>
      </c>
      <c r="CE52" s="1" t="s">
        <v>96</v>
      </c>
      <c r="CF52" s="1">
        <v>0.0065</v>
      </c>
      <c r="CG52" s="1" t="s">
        <v>96</v>
      </c>
      <c r="CH52" s="1">
        <v>2.0E-4</v>
      </c>
      <c r="CI52" s="1" t="s">
        <v>96</v>
      </c>
      <c r="CJ52" s="1">
        <v>0.0011</v>
      </c>
      <c r="CK52" s="1" t="s">
        <v>96</v>
      </c>
      <c r="CL52" s="1">
        <v>0.0017</v>
      </c>
      <c r="CM52" s="1">
        <v>0.0034</v>
      </c>
      <c r="CN52" s="1">
        <v>0.0017</v>
      </c>
      <c r="CO52" s="1">
        <v>0.0012</v>
      </c>
      <c r="CP52" s="1"/>
      <c r="CQ52" s="1"/>
      <c r="CR52" s="1"/>
      <c r="CS52" s="1"/>
      <c r="CT52" s="1"/>
      <c r="CU52" s="1"/>
      <c r="CV52" s="1"/>
      <c r="CW52" s="1"/>
      <c r="CX52" s="1"/>
      <c r="CY52" s="1"/>
    </row>
    <row r="53" ht="14.25" customHeight="1">
      <c r="A53" s="1" t="s">
        <v>162</v>
      </c>
      <c r="B53" s="1">
        <v>1140010.0</v>
      </c>
      <c r="C53" s="3">
        <v>245.87886</v>
      </c>
      <c r="D53" s="3">
        <v>730236.527803</v>
      </c>
      <c r="E53" s="3">
        <v>6002350.559141</v>
      </c>
      <c r="F53" s="3">
        <v>0.0</v>
      </c>
      <c r="G53" s="3">
        <v>1.0</v>
      </c>
      <c r="H53" s="1" t="s">
        <v>98</v>
      </c>
      <c r="I53" s="1" t="s">
        <v>163</v>
      </c>
      <c r="J53" s="1"/>
      <c r="K53" s="1"/>
      <c r="L53" s="1"/>
      <c r="M53" s="2" t="s">
        <v>164</v>
      </c>
      <c r="N53" s="2" t="s">
        <v>135</v>
      </c>
      <c r="O53" s="1" t="s">
        <v>123</v>
      </c>
      <c r="P53" s="1" t="s">
        <v>165</v>
      </c>
      <c r="Q53" s="1"/>
      <c r="R53" s="1">
        <v>8.4698</v>
      </c>
      <c r="S53" s="1">
        <v>0.1384</v>
      </c>
      <c r="T53" s="1">
        <v>17.0466</v>
      </c>
      <c r="U53" s="1">
        <v>0.1178</v>
      </c>
      <c r="V53" s="1" t="s">
        <v>96</v>
      </c>
      <c r="W53" s="1">
        <v>0.8346</v>
      </c>
      <c r="X53" s="1">
        <v>1.3081</v>
      </c>
      <c r="Y53" s="1">
        <v>0.4377</v>
      </c>
      <c r="Z53" s="1">
        <v>0.24</v>
      </c>
      <c r="AA53" s="1">
        <v>0.068</v>
      </c>
      <c r="AB53" s="1">
        <v>0.3095</v>
      </c>
      <c r="AC53" s="1">
        <v>0.0505</v>
      </c>
      <c r="AD53" s="1"/>
      <c r="AE53" s="1"/>
      <c r="AF53" s="1" t="s">
        <v>96</v>
      </c>
      <c r="AG53" s="1">
        <v>0.007</v>
      </c>
      <c r="AH53" s="1">
        <v>0.0575</v>
      </c>
      <c r="AI53" s="1">
        <v>0.0124</v>
      </c>
      <c r="AJ53" s="1">
        <v>3.1508</v>
      </c>
      <c r="AK53" s="1">
        <v>0.0489</v>
      </c>
      <c r="AL53" s="1" t="s">
        <v>96</v>
      </c>
      <c r="AM53" s="1">
        <v>0.0121</v>
      </c>
      <c r="AN53" s="1" t="s">
        <v>96</v>
      </c>
      <c r="AO53" s="1">
        <v>0.0023</v>
      </c>
      <c r="AP53" s="1">
        <v>0.0076</v>
      </c>
      <c r="AQ53" s="1">
        <v>0.0012</v>
      </c>
      <c r="AR53" s="1">
        <v>0.0055</v>
      </c>
      <c r="AS53" s="1">
        <v>0.0013</v>
      </c>
      <c r="AT53" s="1">
        <v>0.0074</v>
      </c>
      <c r="AU53" s="1">
        <v>0.0032</v>
      </c>
      <c r="AV53" s="1" t="s">
        <v>96</v>
      </c>
      <c r="AW53" s="1">
        <v>0.0043</v>
      </c>
      <c r="AX53" s="1" t="s">
        <v>96</v>
      </c>
      <c r="AY53" s="1">
        <v>4.0E-4</v>
      </c>
      <c r="AZ53" s="1">
        <v>0.0101</v>
      </c>
      <c r="BA53" s="1">
        <v>9.0E-4</v>
      </c>
      <c r="BB53" s="1">
        <v>0.0045</v>
      </c>
      <c r="BC53" s="1">
        <v>6.0E-4</v>
      </c>
      <c r="BD53" s="1">
        <v>0.0022</v>
      </c>
      <c r="BE53" s="1">
        <f t="shared" si="1"/>
        <v>22</v>
      </c>
      <c r="BF53" s="3">
        <f t="shared" si="2"/>
        <v>25.3</v>
      </c>
      <c r="BG53" s="1">
        <v>3.0E-4</v>
      </c>
      <c r="BH53" s="1"/>
      <c r="BI53" s="1">
        <v>0.0371</v>
      </c>
      <c r="BJ53" s="1">
        <v>0.0014</v>
      </c>
      <c r="BK53" s="1" t="s">
        <v>96</v>
      </c>
      <c r="BL53" s="1">
        <v>0.0032</v>
      </c>
      <c r="BM53" s="1" t="s">
        <v>96</v>
      </c>
      <c r="BN53" s="1">
        <v>0.002</v>
      </c>
      <c r="BO53" s="1" t="s">
        <v>96</v>
      </c>
      <c r="BP53" s="1">
        <v>0.0112</v>
      </c>
      <c r="BQ53" s="1" t="s">
        <v>96</v>
      </c>
      <c r="BR53" s="1">
        <v>0.0023</v>
      </c>
      <c r="BS53" s="1">
        <v>0.0058</v>
      </c>
      <c r="BT53" s="1">
        <v>0.0029</v>
      </c>
      <c r="BU53" s="1" t="s">
        <v>96</v>
      </c>
      <c r="BV53" s="1">
        <v>0.004</v>
      </c>
      <c r="BW53" s="1" t="s">
        <v>96</v>
      </c>
      <c r="BX53" s="1">
        <v>0.0032</v>
      </c>
      <c r="BY53" s="1" t="s">
        <v>96</v>
      </c>
      <c r="BZ53" s="1">
        <v>0.001</v>
      </c>
      <c r="CA53" s="1">
        <v>0.0594</v>
      </c>
      <c r="CB53" s="1">
        <v>0.0103</v>
      </c>
      <c r="CC53" s="1" t="s">
        <v>96</v>
      </c>
      <c r="CD53" s="1">
        <v>0.0023</v>
      </c>
      <c r="CE53" s="1" t="s">
        <v>96</v>
      </c>
      <c r="CF53" s="1">
        <v>0.0054</v>
      </c>
      <c r="CG53" s="1" t="s">
        <v>96</v>
      </c>
      <c r="CH53" s="1">
        <v>2.0E-4</v>
      </c>
      <c r="CI53" s="1"/>
      <c r="CJ53" s="1"/>
      <c r="CK53" s="1" t="s">
        <v>96</v>
      </c>
      <c r="CL53" s="1">
        <v>0.0018</v>
      </c>
      <c r="CM53" s="1">
        <v>0.0027</v>
      </c>
      <c r="CN53" s="1">
        <v>0.0017</v>
      </c>
      <c r="CO53" s="1">
        <v>0.0015</v>
      </c>
      <c r="CP53" s="1"/>
      <c r="CQ53" s="1"/>
      <c r="CR53" s="1"/>
      <c r="CS53" s="1"/>
      <c r="CT53" s="1"/>
      <c r="CU53" s="1"/>
      <c r="CV53" s="1"/>
      <c r="CW53" s="1"/>
      <c r="CX53" s="1"/>
      <c r="CY53" s="1"/>
    </row>
    <row r="54" ht="14.25" customHeight="1">
      <c r="A54" s="1" t="s">
        <v>162</v>
      </c>
      <c r="B54" s="1">
        <v>1140011.0</v>
      </c>
      <c r="C54" s="3">
        <v>245.87886</v>
      </c>
      <c r="D54" s="3">
        <v>730236.527803</v>
      </c>
      <c r="E54" s="3">
        <v>6002350.559141</v>
      </c>
      <c r="F54" s="3">
        <v>1.0</v>
      </c>
      <c r="G54" s="3">
        <v>2.0</v>
      </c>
      <c r="H54" s="1" t="s">
        <v>98</v>
      </c>
      <c r="I54" s="1" t="s">
        <v>163</v>
      </c>
      <c r="J54" s="1"/>
      <c r="K54" s="1"/>
      <c r="L54" s="1"/>
      <c r="M54" s="2" t="s">
        <v>164</v>
      </c>
      <c r="N54" s="2" t="s">
        <v>135</v>
      </c>
      <c r="O54" s="1" t="s">
        <v>123</v>
      </c>
      <c r="P54" s="1" t="s">
        <v>165</v>
      </c>
      <c r="Q54" s="1"/>
      <c r="R54" s="1">
        <v>12.7816</v>
      </c>
      <c r="S54" s="1">
        <v>0.2228</v>
      </c>
      <c r="T54" s="1">
        <v>21.4277</v>
      </c>
      <c r="U54" s="1">
        <v>0.178</v>
      </c>
      <c r="V54" s="1" t="s">
        <v>96</v>
      </c>
      <c r="W54" s="1">
        <v>0.7077</v>
      </c>
      <c r="X54" s="1">
        <v>1.5269</v>
      </c>
      <c r="Y54" s="1">
        <v>0.4526</v>
      </c>
      <c r="Z54" s="1">
        <v>0.253</v>
      </c>
      <c r="AA54" s="1">
        <v>0.0674</v>
      </c>
      <c r="AB54" s="1">
        <v>0.4393</v>
      </c>
      <c r="AC54" s="1">
        <v>0.0553</v>
      </c>
      <c r="AD54" s="1" t="s">
        <v>96</v>
      </c>
      <c r="AE54" s="1">
        <v>0.0104</v>
      </c>
      <c r="AF54" s="1"/>
      <c r="AG54" s="1"/>
      <c r="AH54" s="1">
        <v>0.0298</v>
      </c>
      <c r="AI54" s="1">
        <v>0.0102</v>
      </c>
      <c r="AJ54" s="1">
        <v>4.4652</v>
      </c>
      <c r="AK54" s="1">
        <v>0.0662</v>
      </c>
      <c r="AL54" s="1" t="s">
        <v>96</v>
      </c>
      <c r="AM54" s="1">
        <v>0.0125</v>
      </c>
      <c r="AN54" s="1" t="s">
        <v>96</v>
      </c>
      <c r="AO54" s="1">
        <v>0.0022</v>
      </c>
      <c r="AP54" s="1">
        <v>0.0092</v>
      </c>
      <c r="AQ54" s="1">
        <v>0.0014</v>
      </c>
      <c r="AR54" s="1">
        <v>0.0075</v>
      </c>
      <c r="AS54" s="1">
        <v>0.0017</v>
      </c>
      <c r="AT54" s="1">
        <v>0.0066</v>
      </c>
      <c r="AU54" s="1">
        <v>0.0032</v>
      </c>
      <c r="AV54" s="1" t="s">
        <v>96</v>
      </c>
      <c r="AW54" s="1">
        <v>0.0044</v>
      </c>
      <c r="AX54" s="1" t="s">
        <v>96</v>
      </c>
      <c r="AY54" s="1">
        <v>4.0E-4</v>
      </c>
      <c r="AZ54" s="1">
        <v>0.0114</v>
      </c>
      <c r="BA54" s="1">
        <v>0.0011</v>
      </c>
      <c r="BB54" s="1">
        <v>0.0037</v>
      </c>
      <c r="BC54" s="1">
        <v>6.0E-4</v>
      </c>
      <c r="BD54" s="1">
        <v>0.002</v>
      </c>
      <c r="BE54" s="1">
        <f t="shared" si="1"/>
        <v>20</v>
      </c>
      <c r="BF54" s="3">
        <f t="shared" si="2"/>
        <v>23</v>
      </c>
      <c r="BG54" s="1">
        <v>4.0E-4</v>
      </c>
      <c r="BH54" s="1"/>
      <c r="BI54" s="1">
        <v>0.023</v>
      </c>
      <c r="BJ54" s="1">
        <v>0.001</v>
      </c>
      <c r="BK54" s="1" t="s">
        <v>96</v>
      </c>
      <c r="BL54" s="1">
        <v>0.0034</v>
      </c>
      <c r="BM54" s="1" t="s">
        <v>96</v>
      </c>
      <c r="BN54" s="1">
        <v>0.0021</v>
      </c>
      <c r="BO54" s="1" t="s">
        <v>96</v>
      </c>
      <c r="BP54" s="1">
        <v>0.0122</v>
      </c>
      <c r="BQ54" s="1" t="s">
        <v>96</v>
      </c>
      <c r="BR54" s="1">
        <v>0.0021</v>
      </c>
      <c r="BS54" s="1"/>
      <c r="BT54" s="1"/>
      <c r="BU54" s="1" t="s">
        <v>96</v>
      </c>
      <c r="BV54" s="1">
        <v>0.0037</v>
      </c>
      <c r="BW54" s="1" t="s">
        <v>96</v>
      </c>
      <c r="BX54" s="1">
        <v>0.003</v>
      </c>
      <c r="BY54" s="1" t="s">
        <v>96</v>
      </c>
      <c r="BZ54" s="1">
        <v>0.001</v>
      </c>
      <c r="CA54" s="1">
        <v>0.0463</v>
      </c>
      <c r="CB54" s="1">
        <v>0.0095</v>
      </c>
      <c r="CC54" s="1" t="s">
        <v>96</v>
      </c>
      <c r="CD54" s="1">
        <v>0.0019</v>
      </c>
      <c r="CE54" s="1"/>
      <c r="CF54" s="1"/>
      <c r="CG54" s="1" t="s">
        <v>96</v>
      </c>
      <c r="CH54" s="1">
        <v>2.0E-4</v>
      </c>
      <c r="CI54" s="1"/>
      <c r="CJ54" s="1"/>
      <c r="CK54" s="1" t="s">
        <v>96</v>
      </c>
      <c r="CL54" s="1">
        <v>0.0017</v>
      </c>
      <c r="CM54" s="1">
        <v>0.0035</v>
      </c>
      <c r="CN54" s="1">
        <v>0.0017</v>
      </c>
      <c r="CO54" s="1">
        <v>0.0016</v>
      </c>
      <c r="CP54" s="1"/>
      <c r="CQ54" s="1"/>
      <c r="CR54" s="1"/>
      <c r="CS54" s="1"/>
      <c r="CT54" s="1"/>
      <c r="CU54" s="1"/>
      <c r="CV54" s="1"/>
      <c r="CW54" s="1"/>
      <c r="CX54" s="1"/>
      <c r="CY54" s="1"/>
    </row>
    <row r="55" ht="14.25" customHeight="1">
      <c r="A55" s="1" t="s">
        <v>162</v>
      </c>
      <c r="B55" s="1">
        <v>1140012.0</v>
      </c>
      <c r="C55" s="3">
        <v>245.87886</v>
      </c>
      <c r="D55" s="3">
        <v>730236.527803</v>
      </c>
      <c r="E55" s="3">
        <v>6002350.559141</v>
      </c>
      <c r="F55" s="3">
        <v>2.0</v>
      </c>
      <c r="G55" s="3">
        <v>3.0</v>
      </c>
      <c r="H55" s="1" t="s">
        <v>106</v>
      </c>
      <c r="I55" s="1" t="s">
        <v>163</v>
      </c>
      <c r="J55" s="1"/>
      <c r="K55" s="1"/>
      <c r="L55" s="1"/>
      <c r="M55" s="2" t="s">
        <v>164</v>
      </c>
      <c r="N55" s="2" t="s">
        <v>135</v>
      </c>
      <c r="O55" s="1" t="s">
        <v>123</v>
      </c>
      <c r="P55" s="1" t="s">
        <v>165</v>
      </c>
      <c r="Q55" s="1"/>
      <c r="R55" s="1">
        <v>14.8012</v>
      </c>
      <c r="S55" s="1">
        <v>0.2822</v>
      </c>
      <c r="T55" s="1">
        <v>25.5548</v>
      </c>
      <c r="U55" s="1">
        <v>0.2292</v>
      </c>
      <c r="V55" s="1" t="s">
        <v>96</v>
      </c>
      <c r="W55" s="1">
        <v>0.7996</v>
      </c>
      <c r="X55" s="1">
        <v>1.8923</v>
      </c>
      <c r="Y55" s="1">
        <v>0.5044</v>
      </c>
      <c r="Z55" s="1">
        <v>0.3083</v>
      </c>
      <c r="AA55" s="1">
        <v>0.0765</v>
      </c>
      <c r="AB55" s="1">
        <v>0.6681</v>
      </c>
      <c r="AC55" s="1">
        <v>0.0663</v>
      </c>
      <c r="AD55" s="1">
        <v>0.0242</v>
      </c>
      <c r="AE55" s="1">
        <v>0.0127</v>
      </c>
      <c r="AF55" s="1" t="s">
        <v>96</v>
      </c>
      <c r="AG55" s="1">
        <v>0.008</v>
      </c>
      <c r="AH55" s="1">
        <v>0.0401</v>
      </c>
      <c r="AI55" s="1">
        <v>0.0115</v>
      </c>
      <c r="AJ55" s="1">
        <v>5.1008</v>
      </c>
      <c r="AK55" s="1">
        <v>0.0661</v>
      </c>
      <c r="AL55" s="1" t="s">
        <v>96</v>
      </c>
      <c r="AM55" s="1">
        <v>0.0149</v>
      </c>
      <c r="AN55" s="1" t="s">
        <v>96</v>
      </c>
      <c r="AO55" s="1">
        <v>0.0027</v>
      </c>
      <c r="AP55" s="1">
        <v>0.0105</v>
      </c>
      <c r="AQ55" s="1">
        <v>0.0013</v>
      </c>
      <c r="AR55" s="1">
        <v>0.0075</v>
      </c>
      <c r="AS55" s="1">
        <v>0.0015</v>
      </c>
      <c r="AT55" s="1">
        <v>0.0069</v>
      </c>
      <c r="AU55" s="1">
        <v>0.0033</v>
      </c>
      <c r="AV55" s="1" t="s">
        <v>96</v>
      </c>
      <c r="AW55" s="1">
        <v>0.0042</v>
      </c>
      <c r="AX55" s="1" t="s">
        <v>96</v>
      </c>
      <c r="AY55" s="1">
        <v>4.0E-4</v>
      </c>
      <c r="AZ55" s="1">
        <v>0.0124</v>
      </c>
      <c r="BA55" s="1">
        <v>0.001</v>
      </c>
      <c r="BB55" s="1">
        <v>0.0039</v>
      </c>
      <c r="BC55" s="1">
        <v>6.0E-4</v>
      </c>
      <c r="BD55" s="1">
        <v>0.0019</v>
      </c>
      <c r="BE55" s="1">
        <f t="shared" si="1"/>
        <v>19</v>
      </c>
      <c r="BF55" s="3">
        <f t="shared" si="2"/>
        <v>21.85</v>
      </c>
      <c r="BG55" s="1">
        <v>3.0E-4</v>
      </c>
      <c r="BH55" s="1"/>
      <c r="BI55" s="1">
        <v>0.0196</v>
      </c>
      <c r="BJ55" s="1">
        <v>9.0E-4</v>
      </c>
      <c r="BK55" s="1" t="s">
        <v>96</v>
      </c>
      <c r="BL55" s="1">
        <v>0.0035</v>
      </c>
      <c r="BM55" s="1" t="s">
        <v>96</v>
      </c>
      <c r="BN55" s="1">
        <v>0.0022</v>
      </c>
      <c r="BO55" s="1" t="s">
        <v>96</v>
      </c>
      <c r="BP55" s="1">
        <v>0.0133</v>
      </c>
      <c r="BQ55" s="1" t="s">
        <v>96</v>
      </c>
      <c r="BR55" s="1">
        <v>0.0021</v>
      </c>
      <c r="BS55" s="1"/>
      <c r="BT55" s="1"/>
      <c r="BU55" s="1" t="s">
        <v>96</v>
      </c>
      <c r="BV55" s="1">
        <v>0.0036</v>
      </c>
      <c r="BW55" s="1" t="s">
        <v>96</v>
      </c>
      <c r="BX55" s="1">
        <v>0.0029</v>
      </c>
      <c r="BY55" s="1" t="s">
        <v>96</v>
      </c>
      <c r="BZ55" s="1">
        <v>9.0E-4</v>
      </c>
      <c r="CA55" s="1">
        <v>0.062</v>
      </c>
      <c r="CB55" s="1">
        <v>0.0091</v>
      </c>
      <c r="CC55" s="1" t="s">
        <v>96</v>
      </c>
      <c r="CD55" s="1">
        <v>0.0019</v>
      </c>
      <c r="CE55" s="1" t="s">
        <v>96</v>
      </c>
      <c r="CF55" s="1">
        <v>0.0061</v>
      </c>
      <c r="CG55" s="1" t="s">
        <v>96</v>
      </c>
      <c r="CH55" s="1">
        <v>1.0E-4</v>
      </c>
      <c r="CI55" s="1"/>
      <c r="CJ55" s="1"/>
      <c r="CK55" s="1">
        <v>0.0033</v>
      </c>
      <c r="CL55" s="1">
        <v>0.0017</v>
      </c>
      <c r="CM55" s="1">
        <v>0.0026</v>
      </c>
      <c r="CN55" s="1">
        <v>0.0015</v>
      </c>
      <c r="CO55" s="1">
        <v>0.0018</v>
      </c>
      <c r="CP55" s="1"/>
      <c r="CQ55" s="1"/>
      <c r="CR55" s="1"/>
      <c r="CS55" s="1"/>
      <c r="CT55" s="1"/>
      <c r="CU55" s="1"/>
      <c r="CV55" s="1"/>
      <c r="CW55" s="1"/>
      <c r="CX55" s="1"/>
      <c r="CY55" s="1"/>
    </row>
    <row r="56" ht="14.25" customHeight="1">
      <c r="A56" s="1" t="s">
        <v>166</v>
      </c>
      <c r="B56" s="1">
        <v>1140013.0</v>
      </c>
      <c r="C56" s="3">
        <v>172.524597</v>
      </c>
      <c r="D56" s="3">
        <v>730222.779753</v>
      </c>
      <c r="E56" s="3">
        <v>6009971.727447</v>
      </c>
      <c r="F56" s="1" t="s">
        <v>167</v>
      </c>
      <c r="G56" s="1" t="s">
        <v>167</v>
      </c>
      <c r="H56" s="1"/>
      <c r="I56" s="1" t="s">
        <v>151</v>
      </c>
      <c r="J56" s="1"/>
      <c r="K56" s="1"/>
      <c r="L56" s="1"/>
      <c r="M56" s="2" t="s">
        <v>168</v>
      </c>
      <c r="N56" s="2" t="s">
        <v>111</v>
      </c>
      <c r="O56" s="1" t="s">
        <v>119</v>
      </c>
      <c r="P56" s="1"/>
      <c r="Q56" s="1"/>
      <c r="R56" s="1">
        <v>9.4629</v>
      </c>
      <c r="S56" s="1">
        <v>0.1654</v>
      </c>
      <c r="T56" s="1">
        <v>19.8684</v>
      </c>
      <c r="U56" s="1">
        <v>0.1437</v>
      </c>
      <c r="V56" s="1" t="s">
        <v>96</v>
      </c>
      <c r="W56" s="1">
        <v>0.7816</v>
      </c>
      <c r="X56" s="1">
        <v>1.5992</v>
      </c>
      <c r="Y56" s="1">
        <v>0.4799</v>
      </c>
      <c r="Z56" s="1">
        <v>0.1841</v>
      </c>
      <c r="AA56" s="1">
        <v>0.0614</v>
      </c>
      <c r="AB56" s="1">
        <v>0.552</v>
      </c>
      <c r="AC56" s="1">
        <v>0.0617</v>
      </c>
      <c r="AD56" s="1" t="s">
        <v>96</v>
      </c>
      <c r="AE56" s="1">
        <v>0.0114</v>
      </c>
      <c r="AF56" s="1" t="s">
        <v>96</v>
      </c>
      <c r="AG56" s="1">
        <v>0.0074</v>
      </c>
      <c r="AH56" s="1">
        <v>0.1131</v>
      </c>
      <c r="AI56" s="1">
        <v>0.0159</v>
      </c>
      <c r="AJ56" s="1">
        <v>3.3704</v>
      </c>
      <c r="AK56" s="1">
        <v>0.0507</v>
      </c>
      <c r="AL56" s="1" t="s">
        <v>96</v>
      </c>
      <c r="AM56" s="1">
        <v>0.0123</v>
      </c>
      <c r="AN56" s="1" t="s">
        <v>96</v>
      </c>
      <c r="AO56" s="1">
        <v>0.0025</v>
      </c>
      <c r="AP56" s="1">
        <v>0.0071</v>
      </c>
      <c r="AQ56" s="1">
        <v>0.0013</v>
      </c>
      <c r="AR56" s="1">
        <v>0.007</v>
      </c>
      <c r="AS56" s="1">
        <v>0.0014</v>
      </c>
      <c r="AT56" s="1">
        <v>0.0046</v>
      </c>
      <c r="AU56" s="1">
        <v>0.003</v>
      </c>
      <c r="AV56" s="1" t="s">
        <v>96</v>
      </c>
      <c r="AW56" s="1">
        <v>0.0041</v>
      </c>
      <c r="AX56" s="1" t="s">
        <v>96</v>
      </c>
      <c r="AY56" s="1">
        <v>3.0E-4</v>
      </c>
      <c r="AZ56" s="1">
        <v>0.0134</v>
      </c>
      <c r="BA56" s="1">
        <v>0.001</v>
      </c>
      <c r="BB56" s="1">
        <v>0.0035</v>
      </c>
      <c r="BC56" s="1">
        <v>6.0E-4</v>
      </c>
      <c r="BD56" s="1">
        <v>0.0023</v>
      </c>
      <c r="BE56" s="1">
        <f t="shared" si="1"/>
        <v>23</v>
      </c>
      <c r="BF56" s="3">
        <f t="shared" si="2"/>
        <v>26.45</v>
      </c>
      <c r="BG56" s="1">
        <v>3.0E-4</v>
      </c>
      <c r="BH56" s="1"/>
      <c r="BI56" s="1">
        <v>0.0207</v>
      </c>
      <c r="BJ56" s="1">
        <v>0.001</v>
      </c>
      <c r="BK56" s="1" t="s">
        <v>96</v>
      </c>
      <c r="BL56" s="1">
        <v>0.0035</v>
      </c>
      <c r="BM56" s="1" t="s">
        <v>96</v>
      </c>
      <c r="BN56" s="1">
        <v>0.0021</v>
      </c>
      <c r="BO56" s="1" t="s">
        <v>96</v>
      </c>
      <c r="BP56" s="1">
        <v>0.0131</v>
      </c>
      <c r="BQ56" s="1" t="s">
        <v>96</v>
      </c>
      <c r="BR56" s="1">
        <v>0.0023</v>
      </c>
      <c r="BS56" s="1">
        <v>0.0079</v>
      </c>
      <c r="BT56" s="1">
        <v>0.0028</v>
      </c>
      <c r="BU56" s="1" t="s">
        <v>96</v>
      </c>
      <c r="BV56" s="1">
        <v>0.004</v>
      </c>
      <c r="BW56" s="1" t="s">
        <v>96</v>
      </c>
      <c r="BX56" s="1">
        <v>0.0033</v>
      </c>
      <c r="BY56" s="1" t="s">
        <v>96</v>
      </c>
      <c r="BZ56" s="1">
        <v>0.001</v>
      </c>
      <c r="CA56" s="1">
        <v>0.0406</v>
      </c>
      <c r="CB56" s="1">
        <v>0.0095</v>
      </c>
      <c r="CC56" s="1" t="s">
        <v>96</v>
      </c>
      <c r="CD56" s="1">
        <v>0.0019</v>
      </c>
      <c r="CE56" s="1"/>
      <c r="CF56" s="1"/>
      <c r="CG56" s="1" t="s">
        <v>96</v>
      </c>
      <c r="CH56" s="1">
        <v>2.0E-4</v>
      </c>
      <c r="CI56" s="1" t="s">
        <v>96</v>
      </c>
      <c r="CJ56" s="1">
        <v>0.0011</v>
      </c>
      <c r="CK56" s="1" t="s">
        <v>96</v>
      </c>
      <c r="CL56" s="1">
        <v>0.0018</v>
      </c>
      <c r="CM56" s="1" t="s">
        <v>96</v>
      </c>
      <c r="CN56" s="1">
        <v>0.0016</v>
      </c>
      <c r="CO56" s="1">
        <v>0.0016</v>
      </c>
      <c r="CP56" s="1"/>
      <c r="CQ56" s="1"/>
      <c r="CR56" s="1"/>
      <c r="CS56" s="1"/>
      <c r="CT56" s="1"/>
      <c r="CU56" s="1"/>
      <c r="CV56" s="1"/>
      <c r="CW56" s="1"/>
      <c r="CX56" s="1"/>
      <c r="CY56" s="1"/>
    </row>
    <row r="57" ht="14.25" customHeight="1">
      <c r="A57" s="1" t="s">
        <v>169</v>
      </c>
      <c r="B57" s="1">
        <v>1140014.0</v>
      </c>
      <c r="C57" s="3">
        <v>227.889328</v>
      </c>
      <c r="D57" s="3">
        <v>731294.438893</v>
      </c>
      <c r="E57" s="3">
        <v>6010045.935103</v>
      </c>
      <c r="F57" s="3">
        <v>0.0</v>
      </c>
      <c r="G57" s="3">
        <v>1.0</v>
      </c>
      <c r="H57" s="1" t="s">
        <v>106</v>
      </c>
      <c r="I57" s="1" t="s">
        <v>151</v>
      </c>
      <c r="J57" s="1"/>
      <c r="K57" s="1"/>
      <c r="L57" s="1"/>
      <c r="M57" s="2" t="s">
        <v>168</v>
      </c>
      <c r="N57" s="2" t="s">
        <v>135</v>
      </c>
      <c r="O57" s="1" t="s">
        <v>123</v>
      </c>
      <c r="P57" s="1"/>
      <c r="Q57" s="1"/>
      <c r="R57" s="1">
        <v>13.4259</v>
      </c>
      <c r="S57" s="1">
        <v>0.2462</v>
      </c>
      <c r="T57" s="1">
        <v>26.835</v>
      </c>
      <c r="U57" s="1">
        <v>0.2157</v>
      </c>
      <c r="V57" s="1" t="s">
        <v>96</v>
      </c>
      <c r="W57" s="1">
        <v>0.8068</v>
      </c>
      <c r="X57" s="1">
        <v>1.2986</v>
      </c>
      <c r="Y57" s="1">
        <v>0.439</v>
      </c>
      <c r="Z57" s="1">
        <v>0.868</v>
      </c>
      <c r="AA57" s="1">
        <v>0.1138</v>
      </c>
      <c r="AB57" s="1">
        <v>0.4026</v>
      </c>
      <c r="AC57" s="1">
        <v>0.0535</v>
      </c>
      <c r="AD57" s="1">
        <v>0.0128</v>
      </c>
      <c r="AE57" s="1">
        <v>0.0109</v>
      </c>
      <c r="AF57" s="1" t="s">
        <v>96</v>
      </c>
      <c r="AG57" s="1">
        <v>0.0076</v>
      </c>
      <c r="AH57" s="1">
        <v>0.0727</v>
      </c>
      <c r="AI57" s="1">
        <v>0.0136</v>
      </c>
      <c r="AJ57" s="1">
        <v>3.1744</v>
      </c>
      <c r="AK57" s="1">
        <v>0.0512</v>
      </c>
      <c r="AL57" s="1" t="s">
        <v>96</v>
      </c>
      <c r="AM57" s="1">
        <v>0.0114</v>
      </c>
      <c r="AN57" s="1" t="s">
        <v>96</v>
      </c>
      <c r="AO57" s="1">
        <v>0.0022</v>
      </c>
      <c r="AP57" s="1">
        <v>0.0065</v>
      </c>
      <c r="AQ57" s="1">
        <v>0.0013</v>
      </c>
      <c r="AR57" s="1">
        <v>0.0049</v>
      </c>
      <c r="AS57" s="1">
        <v>0.0013</v>
      </c>
      <c r="AT57" s="1">
        <v>0.0057</v>
      </c>
      <c r="AU57" s="1">
        <v>0.0029</v>
      </c>
      <c r="AV57" s="1" t="s">
        <v>96</v>
      </c>
      <c r="AW57" s="1">
        <v>0.0045</v>
      </c>
      <c r="AX57" s="1" t="s">
        <v>96</v>
      </c>
      <c r="AY57" s="1">
        <v>4.0E-4</v>
      </c>
      <c r="AZ57" s="1">
        <v>0.0119</v>
      </c>
      <c r="BA57" s="1">
        <v>0.001</v>
      </c>
      <c r="BB57" s="1">
        <v>0.0139</v>
      </c>
      <c r="BC57" s="1">
        <v>0.001</v>
      </c>
      <c r="BD57" s="1">
        <v>0.0029</v>
      </c>
      <c r="BE57" s="1">
        <f t="shared" si="1"/>
        <v>29</v>
      </c>
      <c r="BF57" s="3">
        <f t="shared" si="2"/>
        <v>33.35</v>
      </c>
      <c r="BG57" s="1">
        <v>4.0E-4</v>
      </c>
      <c r="BH57" s="1"/>
      <c r="BI57" s="1">
        <v>0.0094</v>
      </c>
      <c r="BJ57" s="1">
        <v>7.0E-4</v>
      </c>
      <c r="BK57" s="1" t="s">
        <v>96</v>
      </c>
      <c r="BL57" s="1">
        <v>0.0036</v>
      </c>
      <c r="BM57" s="1" t="s">
        <v>96</v>
      </c>
      <c r="BN57" s="1">
        <v>0.0023</v>
      </c>
      <c r="BO57" s="1" t="s">
        <v>96</v>
      </c>
      <c r="BP57" s="1">
        <v>0.0141</v>
      </c>
      <c r="BQ57" s="1" t="s">
        <v>96</v>
      </c>
      <c r="BR57" s="1">
        <v>0.0021</v>
      </c>
      <c r="BS57" s="1">
        <v>0.0067</v>
      </c>
      <c r="BT57" s="1">
        <v>0.0026</v>
      </c>
      <c r="BU57" s="1" t="s">
        <v>96</v>
      </c>
      <c r="BV57" s="1">
        <v>0.0037</v>
      </c>
      <c r="BW57" s="1" t="s">
        <v>96</v>
      </c>
      <c r="BX57" s="1">
        <v>0.0029</v>
      </c>
      <c r="BY57" s="1" t="s">
        <v>96</v>
      </c>
      <c r="BZ57" s="1">
        <v>9.0E-4</v>
      </c>
      <c r="CA57" s="1">
        <v>0.0191</v>
      </c>
      <c r="CB57" s="1">
        <v>0.0084</v>
      </c>
      <c r="CC57" s="1" t="s">
        <v>96</v>
      </c>
      <c r="CD57" s="1">
        <v>0.0018</v>
      </c>
      <c r="CE57" s="1"/>
      <c r="CF57" s="1"/>
      <c r="CG57" s="1" t="s">
        <v>96</v>
      </c>
      <c r="CH57" s="1">
        <v>1.0E-4</v>
      </c>
      <c r="CI57" s="1"/>
      <c r="CJ57" s="1"/>
      <c r="CK57" s="1">
        <v>0.0043</v>
      </c>
      <c r="CL57" s="1">
        <v>0.0019</v>
      </c>
      <c r="CM57" s="1">
        <v>0.0023</v>
      </c>
      <c r="CN57" s="1">
        <v>0.0015</v>
      </c>
      <c r="CO57" s="1">
        <v>0.0022</v>
      </c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ht="14.25" customHeight="1">
      <c r="A58" s="1" t="s">
        <v>170</v>
      </c>
      <c r="B58" s="1">
        <v>1140015.0</v>
      </c>
      <c r="C58" s="3">
        <v>273.031616</v>
      </c>
      <c r="D58" s="3">
        <v>732055.865678</v>
      </c>
      <c r="E58" s="3">
        <v>6010607.868337</v>
      </c>
      <c r="F58" s="3">
        <v>0.0</v>
      </c>
      <c r="G58" s="6">
        <v>0.5</v>
      </c>
      <c r="H58" s="1" t="s">
        <v>106</v>
      </c>
      <c r="I58" s="1" t="s">
        <v>163</v>
      </c>
      <c r="J58" s="1"/>
      <c r="K58" s="1"/>
      <c r="L58" s="1"/>
      <c r="M58" s="2"/>
      <c r="N58" s="2" t="s">
        <v>135</v>
      </c>
      <c r="O58" s="1" t="s">
        <v>119</v>
      </c>
      <c r="P58" s="1" t="s">
        <v>171</v>
      </c>
      <c r="Q58" s="1"/>
      <c r="R58" s="1">
        <v>10.7128</v>
      </c>
      <c r="S58" s="1">
        <v>0.1816</v>
      </c>
      <c r="T58" s="1">
        <v>21.7982</v>
      </c>
      <c r="U58" s="1">
        <v>0.1588</v>
      </c>
      <c r="V58" s="1" t="s">
        <v>96</v>
      </c>
      <c r="W58" s="1">
        <v>0.7765</v>
      </c>
      <c r="X58" s="1">
        <v>2.4074</v>
      </c>
      <c r="Y58" s="1">
        <v>0.5538</v>
      </c>
      <c r="Z58" s="1">
        <v>0.1975</v>
      </c>
      <c r="AA58" s="1">
        <v>0.0617</v>
      </c>
      <c r="AB58" s="1">
        <v>0.3883</v>
      </c>
      <c r="AC58" s="1">
        <v>0.0507</v>
      </c>
      <c r="AD58" s="1">
        <v>0.0114</v>
      </c>
      <c r="AE58" s="1">
        <v>0.0099</v>
      </c>
      <c r="AF58" s="1" t="s">
        <v>96</v>
      </c>
      <c r="AG58" s="1">
        <v>0.0069</v>
      </c>
      <c r="AH58" s="1">
        <v>0.0802</v>
      </c>
      <c r="AI58" s="1">
        <v>0.0137</v>
      </c>
      <c r="AJ58" s="1">
        <v>2.3586</v>
      </c>
      <c r="AK58" s="1">
        <v>0.0412</v>
      </c>
      <c r="AL58" s="1" t="s">
        <v>96</v>
      </c>
      <c r="AM58" s="1">
        <v>0.0103</v>
      </c>
      <c r="AN58" s="1" t="s">
        <v>96</v>
      </c>
      <c r="AO58" s="1">
        <v>0.0022</v>
      </c>
      <c r="AP58" s="1">
        <v>0.0054</v>
      </c>
      <c r="AQ58" s="1">
        <v>0.0013</v>
      </c>
      <c r="AR58" s="1">
        <v>0.0032</v>
      </c>
      <c r="AS58" s="1">
        <v>0.001</v>
      </c>
      <c r="AT58" s="1">
        <v>0.0047</v>
      </c>
      <c r="AU58" s="1">
        <v>0.003</v>
      </c>
      <c r="AV58" s="1" t="s">
        <v>96</v>
      </c>
      <c r="AW58" s="1">
        <v>0.0039</v>
      </c>
      <c r="AX58" s="1" t="s">
        <v>96</v>
      </c>
      <c r="AY58" s="1">
        <v>3.0E-4</v>
      </c>
      <c r="AZ58" s="1">
        <v>0.0182</v>
      </c>
      <c r="BA58" s="1">
        <v>0.0011</v>
      </c>
      <c r="BB58" s="1">
        <v>0.0027</v>
      </c>
      <c r="BC58" s="1">
        <v>5.0E-4</v>
      </c>
      <c r="BD58" s="1">
        <v>0.003</v>
      </c>
      <c r="BE58" s="1">
        <f t="shared" si="1"/>
        <v>30</v>
      </c>
      <c r="BF58" s="3">
        <f t="shared" si="2"/>
        <v>34.5</v>
      </c>
      <c r="BG58" s="1">
        <v>4.0E-4</v>
      </c>
      <c r="BH58" s="1"/>
      <c r="BI58" s="1">
        <v>0.0061</v>
      </c>
      <c r="BJ58" s="1">
        <v>7.0E-4</v>
      </c>
      <c r="BK58" s="1">
        <v>0.0052</v>
      </c>
      <c r="BL58" s="1">
        <v>0.0034</v>
      </c>
      <c r="BM58" s="1" t="s">
        <v>96</v>
      </c>
      <c r="BN58" s="1">
        <v>0.0021</v>
      </c>
      <c r="BO58" s="1" t="s">
        <v>96</v>
      </c>
      <c r="BP58" s="1">
        <v>0.0134</v>
      </c>
      <c r="BQ58" s="1" t="s">
        <v>96</v>
      </c>
      <c r="BR58" s="1">
        <v>0.0022</v>
      </c>
      <c r="BS58" s="1">
        <v>0.01</v>
      </c>
      <c r="BT58" s="1">
        <v>0.0029</v>
      </c>
      <c r="BU58" s="1" t="s">
        <v>96</v>
      </c>
      <c r="BV58" s="1">
        <v>0.0039</v>
      </c>
      <c r="BW58" s="1" t="s">
        <v>96</v>
      </c>
      <c r="BX58" s="1">
        <v>0.0031</v>
      </c>
      <c r="BY58" s="1" t="s">
        <v>96</v>
      </c>
      <c r="BZ58" s="1">
        <v>0.001</v>
      </c>
      <c r="CA58" s="1">
        <v>0.0357</v>
      </c>
      <c r="CB58" s="1">
        <v>0.0093</v>
      </c>
      <c r="CC58" s="1" t="s">
        <v>96</v>
      </c>
      <c r="CD58" s="1">
        <v>0.0022</v>
      </c>
      <c r="CE58" s="1" t="s">
        <v>96</v>
      </c>
      <c r="CF58" s="1">
        <v>0.0061</v>
      </c>
      <c r="CG58" s="1" t="s">
        <v>96</v>
      </c>
      <c r="CH58" s="1">
        <v>2.0E-4</v>
      </c>
      <c r="CI58" s="1"/>
      <c r="CJ58" s="1"/>
      <c r="CK58" s="1">
        <v>0.0063</v>
      </c>
      <c r="CL58" s="1">
        <v>0.0021</v>
      </c>
      <c r="CM58" s="1">
        <v>0.0047</v>
      </c>
      <c r="CN58" s="1">
        <v>0.0017</v>
      </c>
      <c r="CO58" s="1">
        <v>0.003</v>
      </c>
      <c r="CP58" s="1"/>
      <c r="CQ58" s="1"/>
      <c r="CR58" s="1"/>
      <c r="CS58" s="1"/>
      <c r="CT58" s="1"/>
      <c r="CU58" s="1"/>
      <c r="CV58" s="1"/>
      <c r="CW58" s="1"/>
      <c r="CX58" s="1"/>
      <c r="CY58" s="1"/>
    </row>
    <row r="59" ht="14.25" customHeight="1">
      <c r="A59" s="1" t="s">
        <v>172</v>
      </c>
      <c r="B59" s="1">
        <v>1140016.0</v>
      </c>
      <c r="C59" s="3">
        <v>195.187622</v>
      </c>
      <c r="D59" s="3">
        <v>734020.261789</v>
      </c>
      <c r="E59" s="3">
        <v>6011898.47765</v>
      </c>
      <c r="F59" s="3">
        <v>0.0</v>
      </c>
      <c r="G59" s="3">
        <v>1.0</v>
      </c>
      <c r="H59" s="1" t="s">
        <v>106</v>
      </c>
      <c r="I59" s="1" t="s">
        <v>151</v>
      </c>
      <c r="J59" s="1"/>
      <c r="K59" s="1"/>
      <c r="L59" s="1"/>
      <c r="M59" s="2"/>
      <c r="N59" s="2" t="s">
        <v>135</v>
      </c>
      <c r="O59" s="1" t="s">
        <v>123</v>
      </c>
      <c r="P59" s="1"/>
      <c r="Q59" s="1"/>
      <c r="R59" s="1">
        <v>9.6318</v>
      </c>
      <c r="S59" s="1">
        <v>0.1472</v>
      </c>
      <c r="T59" s="1">
        <v>18.1417</v>
      </c>
      <c r="U59" s="1">
        <v>0.1246</v>
      </c>
      <c r="V59" s="1" t="s">
        <v>96</v>
      </c>
      <c r="W59" s="1">
        <v>0.7116</v>
      </c>
      <c r="X59" s="1">
        <v>2.4392</v>
      </c>
      <c r="Y59" s="1">
        <v>0.5516</v>
      </c>
      <c r="Z59" s="1">
        <v>0.1475</v>
      </c>
      <c r="AA59" s="1">
        <v>0.0559</v>
      </c>
      <c r="AB59" s="1">
        <v>0.1936</v>
      </c>
      <c r="AC59" s="1">
        <v>0.0382</v>
      </c>
      <c r="AD59" s="1"/>
      <c r="AE59" s="1"/>
      <c r="AF59" s="1" t="s">
        <v>96</v>
      </c>
      <c r="AG59" s="1">
        <v>0.0057</v>
      </c>
      <c r="AH59" s="1">
        <v>0.0221</v>
      </c>
      <c r="AI59" s="1">
        <v>0.0087</v>
      </c>
      <c r="AJ59" s="1">
        <v>1.9448</v>
      </c>
      <c r="AK59" s="1">
        <v>0.0395</v>
      </c>
      <c r="AL59" s="1" t="s">
        <v>96</v>
      </c>
      <c r="AM59" s="1">
        <v>0.0086</v>
      </c>
      <c r="AN59" s="1" t="s">
        <v>96</v>
      </c>
      <c r="AO59" s="1">
        <v>0.002</v>
      </c>
      <c r="AP59" s="1">
        <v>0.0031</v>
      </c>
      <c r="AQ59" s="1">
        <v>0.0012</v>
      </c>
      <c r="AR59" s="1">
        <v>0.003</v>
      </c>
      <c r="AS59" s="1">
        <v>0.0011</v>
      </c>
      <c r="AT59" s="1">
        <v>0.004</v>
      </c>
      <c r="AU59" s="1">
        <v>0.0029</v>
      </c>
      <c r="AV59" s="1" t="s">
        <v>96</v>
      </c>
      <c r="AW59" s="1">
        <v>0.0042</v>
      </c>
      <c r="AX59" s="1" t="s">
        <v>96</v>
      </c>
      <c r="AY59" s="1">
        <v>4.0E-4</v>
      </c>
      <c r="AZ59" s="1">
        <v>0.0227</v>
      </c>
      <c r="BA59" s="1">
        <v>0.0013</v>
      </c>
      <c r="BB59" s="1">
        <v>0.0042</v>
      </c>
      <c r="BC59" s="1">
        <v>6.0E-4</v>
      </c>
      <c r="BD59" s="1">
        <v>0.0046</v>
      </c>
      <c r="BE59" s="1">
        <f t="shared" si="1"/>
        <v>46</v>
      </c>
      <c r="BF59" s="3">
        <f t="shared" si="2"/>
        <v>52.9</v>
      </c>
      <c r="BG59" s="1">
        <v>4.0E-4</v>
      </c>
      <c r="BH59" s="1"/>
      <c r="BI59" s="1">
        <v>0.0083</v>
      </c>
      <c r="BJ59" s="1">
        <v>7.0E-4</v>
      </c>
      <c r="BK59" s="1">
        <v>0.0075</v>
      </c>
      <c r="BL59" s="1">
        <v>0.0038</v>
      </c>
      <c r="BM59" s="1" t="s">
        <v>96</v>
      </c>
      <c r="BN59" s="1">
        <v>0.0023</v>
      </c>
      <c r="BO59" s="1" t="s">
        <v>96</v>
      </c>
      <c r="BP59" s="1">
        <v>0.0152</v>
      </c>
      <c r="BQ59" s="1" t="s">
        <v>96</v>
      </c>
      <c r="BR59" s="1">
        <v>0.0022</v>
      </c>
      <c r="BS59" s="1">
        <v>0.0168</v>
      </c>
      <c r="BT59" s="1">
        <v>0.0028</v>
      </c>
      <c r="BU59" s="1" t="s">
        <v>96</v>
      </c>
      <c r="BV59" s="1">
        <v>0.0038</v>
      </c>
      <c r="BW59" s="1" t="s">
        <v>96</v>
      </c>
      <c r="BX59" s="1">
        <v>0.0032</v>
      </c>
      <c r="BY59" s="1" t="s">
        <v>96</v>
      </c>
      <c r="BZ59" s="1">
        <v>0.001</v>
      </c>
      <c r="CA59" s="1">
        <v>0.0183</v>
      </c>
      <c r="CB59" s="1">
        <v>0.0088</v>
      </c>
      <c r="CC59" s="1" t="s">
        <v>96</v>
      </c>
      <c r="CD59" s="1">
        <v>0.0017</v>
      </c>
      <c r="CE59" s="1" t="s">
        <v>96</v>
      </c>
      <c r="CF59" s="1">
        <v>0.0069</v>
      </c>
      <c r="CG59" s="1" t="s">
        <v>96</v>
      </c>
      <c r="CH59" s="1">
        <v>2.0E-4</v>
      </c>
      <c r="CI59" s="1"/>
      <c r="CJ59" s="1"/>
      <c r="CK59" s="1">
        <v>0.0035</v>
      </c>
      <c r="CL59" s="1">
        <v>0.0019</v>
      </c>
      <c r="CM59" s="1">
        <v>0.0106</v>
      </c>
      <c r="CN59" s="1">
        <v>0.0021</v>
      </c>
      <c r="CO59" s="1">
        <v>0.0021</v>
      </c>
      <c r="CP59" s="1"/>
      <c r="CQ59" s="1"/>
      <c r="CR59" s="1"/>
      <c r="CS59" s="1"/>
      <c r="CT59" s="1"/>
      <c r="CU59" s="1"/>
      <c r="CV59" s="1"/>
      <c r="CW59" s="1"/>
      <c r="CX59" s="1"/>
      <c r="CY59" s="1"/>
    </row>
    <row r="60" ht="14.25" customHeight="1">
      <c r="A60" s="1" t="s">
        <v>172</v>
      </c>
      <c r="B60" s="1">
        <v>1140017.0</v>
      </c>
      <c r="C60" s="3">
        <v>195.187622</v>
      </c>
      <c r="D60" s="3">
        <v>734020.261789</v>
      </c>
      <c r="E60" s="3">
        <v>6011898.47765</v>
      </c>
      <c r="F60" s="3">
        <v>1.0</v>
      </c>
      <c r="G60" s="3">
        <v>2.0</v>
      </c>
      <c r="H60" s="1" t="s">
        <v>106</v>
      </c>
      <c r="I60" s="1" t="s">
        <v>151</v>
      </c>
      <c r="J60" s="1"/>
      <c r="K60" s="1"/>
      <c r="L60" s="1"/>
      <c r="M60" s="2"/>
      <c r="N60" s="2" t="s">
        <v>135</v>
      </c>
      <c r="O60" s="1" t="s">
        <v>123</v>
      </c>
      <c r="P60" s="1"/>
      <c r="Q60" s="1"/>
      <c r="R60" s="1">
        <v>12.8998</v>
      </c>
      <c r="S60" s="1">
        <v>0.1958</v>
      </c>
      <c r="T60" s="1">
        <v>22.1555</v>
      </c>
      <c r="U60" s="1">
        <v>0.1646</v>
      </c>
      <c r="V60" s="1" t="s">
        <v>96</v>
      </c>
      <c r="W60" s="1">
        <v>0.8232</v>
      </c>
      <c r="X60" s="1">
        <v>0.8955</v>
      </c>
      <c r="Y60" s="1">
        <v>0.3947</v>
      </c>
      <c r="Z60" s="1">
        <v>0.0996</v>
      </c>
      <c r="AA60" s="1">
        <v>0.0494</v>
      </c>
      <c r="AB60" s="1">
        <v>0.224</v>
      </c>
      <c r="AC60" s="1">
        <v>0.04</v>
      </c>
      <c r="AD60" s="1"/>
      <c r="AE60" s="1"/>
      <c r="AF60" s="1"/>
      <c r="AG60" s="1"/>
      <c r="AH60" s="1">
        <v>0.0248</v>
      </c>
      <c r="AI60" s="1">
        <v>0.0091</v>
      </c>
      <c r="AJ60" s="1">
        <v>1.8845</v>
      </c>
      <c r="AK60" s="1">
        <v>0.0363</v>
      </c>
      <c r="AL60" s="1" t="s">
        <v>96</v>
      </c>
      <c r="AM60" s="1">
        <v>0.0093</v>
      </c>
      <c r="AN60" s="1" t="s">
        <v>96</v>
      </c>
      <c r="AO60" s="1">
        <v>0.0021</v>
      </c>
      <c r="AP60" s="1">
        <v>0.0041</v>
      </c>
      <c r="AQ60" s="1">
        <v>0.0011</v>
      </c>
      <c r="AR60" s="1">
        <v>0.0038</v>
      </c>
      <c r="AS60" s="1">
        <v>0.0011</v>
      </c>
      <c r="AT60" s="1">
        <v>0.0058</v>
      </c>
      <c r="AU60" s="1">
        <v>0.0029</v>
      </c>
      <c r="AV60" s="1" t="s">
        <v>96</v>
      </c>
      <c r="AW60" s="1">
        <v>0.004</v>
      </c>
      <c r="AX60" s="1" t="s">
        <v>96</v>
      </c>
      <c r="AY60" s="1">
        <v>4.0E-4</v>
      </c>
      <c r="AZ60" s="1">
        <v>0.0157</v>
      </c>
      <c r="BA60" s="1">
        <v>0.0011</v>
      </c>
      <c r="BB60" s="1">
        <v>0.0017</v>
      </c>
      <c r="BC60" s="1">
        <v>5.0E-4</v>
      </c>
      <c r="BD60" s="1">
        <v>0.0048</v>
      </c>
      <c r="BE60" s="1">
        <f t="shared" si="1"/>
        <v>48</v>
      </c>
      <c r="BF60" s="3">
        <f t="shared" si="2"/>
        <v>55.2</v>
      </c>
      <c r="BG60" s="1">
        <v>4.0E-4</v>
      </c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</row>
    <row r="61" ht="14.25" customHeight="1">
      <c r="A61" s="1" t="s">
        <v>173</v>
      </c>
      <c r="B61" s="1"/>
      <c r="C61" s="3">
        <v>504.3125</v>
      </c>
      <c r="D61" s="3">
        <v>725370.552889</v>
      </c>
      <c r="E61" s="3">
        <v>5987555.705434</v>
      </c>
      <c r="F61" s="3"/>
      <c r="G61" s="3"/>
      <c r="H61" s="1"/>
      <c r="I61" s="1"/>
      <c r="J61" s="1"/>
      <c r="K61" s="1"/>
      <c r="L61" s="1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</row>
    <row r="62" ht="14.25" customHeight="1">
      <c r="A62" s="1" t="s">
        <v>174</v>
      </c>
      <c r="B62" s="1"/>
      <c r="C62" s="3">
        <v>509.329102</v>
      </c>
      <c r="D62" s="3">
        <v>725473.957914</v>
      </c>
      <c r="E62" s="3">
        <v>5987421.903807</v>
      </c>
      <c r="F62" s="3"/>
      <c r="G62" s="3"/>
      <c r="H62" s="1"/>
      <c r="I62" s="1"/>
      <c r="J62" s="1"/>
      <c r="K62" s="1"/>
      <c r="L62" s="1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</row>
    <row r="63" ht="14.25" customHeight="1">
      <c r="A63" s="1" t="s">
        <v>175</v>
      </c>
      <c r="B63" s="1"/>
      <c r="C63" s="3">
        <v>405.043762</v>
      </c>
      <c r="D63" s="3">
        <v>707661.835098</v>
      </c>
      <c r="E63" s="3">
        <v>5982261.584086</v>
      </c>
      <c r="F63" s="3"/>
      <c r="G63" s="3"/>
      <c r="H63" s="1"/>
      <c r="I63" s="1"/>
      <c r="J63" s="1"/>
      <c r="K63" s="1"/>
      <c r="L63" s="1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</row>
    <row r="64" ht="14.25" customHeight="1">
      <c r="A64" s="1" t="s">
        <v>176</v>
      </c>
      <c r="B64" s="1"/>
      <c r="C64" s="3">
        <v>478.946625</v>
      </c>
      <c r="D64" s="3">
        <v>725676.544048</v>
      </c>
      <c r="E64" s="3">
        <v>5987044.2639</v>
      </c>
      <c r="F64" s="3"/>
      <c r="G64" s="3"/>
      <c r="H64" s="1"/>
      <c r="I64" s="1"/>
      <c r="J64" s="1"/>
      <c r="K64" s="1"/>
      <c r="L64" s="1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</row>
    <row r="65" ht="14.25" customHeight="1">
      <c r="A65" s="1" t="s">
        <v>177</v>
      </c>
      <c r="B65" s="1"/>
      <c r="C65" s="3">
        <v>518.977234</v>
      </c>
      <c r="D65" s="3">
        <v>706729.403893</v>
      </c>
      <c r="E65" s="3">
        <v>5981749.592847</v>
      </c>
      <c r="F65" s="3"/>
      <c r="G65" s="3"/>
      <c r="H65" s="1"/>
      <c r="I65" s="1"/>
      <c r="J65" s="1"/>
      <c r="K65" s="1"/>
      <c r="L65" s="1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</row>
    <row r="66" ht="14.25" customHeight="1">
      <c r="A66" s="1" t="s">
        <v>178</v>
      </c>
      <c r="B66" s="1"/>
      <c r="C66" s="3">
        <v>286.520233</v>
      </c>
      <c r="D66" s="3">
        <v>726132.703083</v>
      </c>
      <c r="E66" s="3">
        <v>5987804.986596</v>
      </c>
      <c r="F66" s="3"/>
      <c r="G66" s="3"/>
      <c r="H66" s="1"/>
      <c r="I66" s="1"/>
      <c r="J66" s="1"/>
      <c r="K66" s="1"/>
      <c r="L66" s="1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</row>
    <row r="67" ht="14.25" customHeight="1">
      <c r="A67" s="1" t="s">
        <v>179</v>
      </c>
      <c r="B67" s="1"/>
      <c r="C67" s="3">
        <v>516.629822</v>
      </c>
      <c r="D67" s="3">
        <v>706538.573131</v>
      </c>
      <c r="E67" s="3">
        <v>5981222.145429</v>
      </c>
      <c r="F67" s="3"/>
      <c r="G67" s="3"/>
      <c r="H67" s="1"/>
      <c r="I67" s="1"/>
      <c r="J67" s="1"/>
      <c r="K67" s="1"/>
      <c r="L67" s="1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</row>
    <row r="68" ht="14.25" customHeight="1">
      <c r="A68" s="1" t="s">
        <v>180</v>
      </c>
      <c r="B68" s="1"/>
      <c r="C68" s="3">
        <v>252.193512</v>
      </c>
      <c r="D68" s="3">
        <v>726502.021926</v>
      </c>
      <c r="E68" s="3">
        <v>5986709.85147</v>
      </c>
      <c r="F68" s="3"/>
      <c r="G68" s="3"/>
      <c r="H68" s="1"/>
      <c r="I68" s="1"/>
      <c r="J68" s="1"/>
      <c r="K68" s="1"/>
      <c r="L68" s="1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</row>
    <row r="69" ht="14.25" customHeight="1">
      <c r="A69" s="1" t="s">
        <v>181</v>
      </c>
      <c r="B69" s="1"/>
      <c r="C69" s="3">
        <v>243.450012</v>
      </c>
      <c r="D69" s="3">
        <v>716909.365724</v>
      </c>
      <c r="E69" s="3">
        <v>5987498.254498</v>
      </c>
      <c r="F69" s="3"/>
      <c r="G69" s="3"/>
      <c r="H69" s="1"/>
      <c r="I69" s="1"/>
      <c r="J69" s="1"/>
      <c r="K69" s="1"/>
      <c r="L69" s="1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</row>
    <row r="70" ht="14.25" customHeight="1">
      <c r="A70" s="1" t="s">
        <v>182</v>
      </c>
      <c r="B70" s="1"/>
      <c r="C70" s="3">
        <v>339.627045</v>
      </c>
      <c r="D70" s="3">
        <v>713246.035774</v>
      </c>
      <c r="E70" s="3">
        <v>5985577.215772</v>
      </c>
      <c r="F70" s="3"/>
      <c r="G70" s="3"/>
      <c r="H70" s="1"/>
      <c r="I70" s="1"/>
      <c r="J70" s="1"/>
      <c r="K70" s="1"/>
      <c r="L70" s="1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ht="14.25" customHeight="1">
      <c r="A71" s="1" t="s">
        <v>167</v>
      </c>
      <c r="B71" s="1"/>
      <c r="C71" s="3">
        <v>404.633972</v>
      </c>
      <c r="D71" s="3">
        <v>714085.50717</v>
      </c>
      <c r="E71" s="3">
        <v>5988703.355198</v>
      </c>
      <c r="F71" s="3"/>
      <c r="G71" s="3"/>
      <c r="H71" s="1"/>
      <c r="I71" s="1"/>
      <c r="J71" s="1"/>
      <c r="K71" s="1"/>
      <c r="L71" s="1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</row>
    <row r="72" ht="14.25" customHeight="1">
      <c r="A72" s="1" t="s">
        <v>183</v>
      </c>
      <c r="B72" s="1"/>
      <c r="C72" s="3">
        <v>462.84198</v>
      </c>
      <c r="D72" s="3">
        <v>713263.561166</v>
      </c>
      <c r="E72" s="3">
        <v>5987233.739931</v>
      </c>
      <c r="F72" s="3"/>
      <c r="G72" s="3"/>
      <c r="H72" s="1"/>
      <c r="I72" s="1"/>
      <c r="J72" s="1"/>
      <c r="K72" s="1"/>
      <c r="L72" s="1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</row>
    <row r="73" ht="14.25" customHeight="1">
      <c r="A73" s="1" t="s">
        <v>184</v>
      </c>
      <c r="B73" s="1"/>
      <c r="C73" s="3">
        <v>422.180115</v>
      </c>
      <c r="D73" s="3">
        <v>712613.257181</v>
      </c>
      <c r="E73" s="3">
        <v>5986121.354513</v>
      </c>
      <c r="F73" s="3"/>
      <c r="G73" s="3"/>
      <c r="H73" s="1"/>
      <c r="I73" s="1"/>
      <c r="J73" s="1"/>
      <c r="K73" s="1"/>
      <c r="L73" s="1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</row>
    <row r="74" ht="14.25" customHeight="1">
      <c r="A74" s="1" t="s">
        <v>185</v>
      </c>
      <c r="B74" s="1"/>
      <c r="C74" s="3">
        <v>274.204437</v>
      </c>
      <c r="D74" s="3">
        <v>736750.783681</v>
      </c>
      <c r="E74" s="3">
        <v>5993211.182774</v>
      </c>
      <c r="F74" s="3"/>
      <c r="G74" s="3"/>
      <c r="H74" s="1"/>
      <c r="I74" s="1"/>
      <c r="J74" s="1"/>
      <c r="K74" s="1"/>
      <c r="L74" s="1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</row>
    <row r="75" ht="14.25" customHeight="1">
      <c r="A75" s="1" t="s">
        <v>186</v>
      </c>
      <c r="B75" s="1"/>
      <c r="C75" s="3">
        <v>281.386597</v>
      </c>
      <c r="D75" s="3">
        <v>710826.470954</v>
      </c>
      <c r="E75" s="3">
        <v>5981321.102209</v>
      </c>
      <c r="F75" s="3"/>
      <c r="G75" s="3"/>
      <c r="H75" s="1"/>
      <c r="I75" s="1"/>
      <c r="J75" s="1"/>
      <c r="K75" s="1"/>
      <c r="L75" s="1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</row>
    <row r="76" ht="14.25" customHeight="1">
      <c r="A76" s="1" t="s">
        <v>187</v>
      </c>
      <c r="B76" s="1"/>
      <c r="C76" s="3">
        <v>219.9</v>
      </c>
      <c r="D76" s="3">
        <v>740646.263915</v>
      </c>
      <c r="E76" s="3">
        <v>5999709.101007</v>
      </c>
      <c r="F76" s="3"/>
      <c r="G76" s="3"/>
      <c r="H76" s="1"/>
      <c r="I76" s="1"/>
      <c r="J76" s="1"/>
      <c r="K76" s="1"/>
      <c r="L76" s="1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</row>
    <row r="77" ht="14.25" customHeight="1">
      <c r="A77" s="1" t="s">
        <v>188</v>
      </c>
      <c r="B77" s="1"/>
      <c r="C77" s="3">
        <v>246.7</v>
      </c>
      <c r="D77" s="3">
        <v>739956.769664</v>
      </c>
      <c r="E77" s="3">
        <v>6001218.531229</v>
      </c>
      <c r="F77" s="3"/>
      <c r="G77" s="3"/>
      <c r="H77" s="1"/>
      <c r="I77" s="1"/>
      <c r="J77" s="1"/>
      <c r="K77" s="1"/>
      <c r="L77" s="1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</row>
    <row r="78" ht="14.25" customHeight="1">
      <c r="A78" s="1" t="s">
        <v>189</v>
      </c>
      <c r="B78" s="1"/>
      <c r="C78" s="3">
        <v>178.44</v>
      </c>
      <c r="D78" s="3">
        <v>732584.686396</v>
      </c>
      <c r="E78" s="3">
        <v>6000460.912013</v>
      </c>
      <c r="F78" s="3"/>
      <c r="G78" s="3"/>
      <c r="H78" s="1"/>
      <c r="I78" s="1"/>
      <c r="J78" s="1"/>
      <c r="K78" s="1"/>
      <c r="L78" s="1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</row>
    <row r="79" ht="14.25" customHeight="1">
      <c r="A79" s="1" t="s">
        <v>190</v>
      </c>
      <c r="B79" s="1"/>
      <c r="C79" s="3"/>
      <c r="D79" s="3">
        <v>723762.0</v>
      </c>
      <c r="E79" s="3">
        <v>5988696.0</v>
      </c>
      <c r="F79" s="3"/>
      <c r="G79" s="3"/>
      <c r="H79" s="1"/>
      <c r="I79" s="1"/>
      <c r="J79" s="1"/>
      <c r="K79" s="1"/>
      <c r="L79" s="1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</row>
    <row r="80" ht="14.25" customHeight="1">
      <c r="A80" s="1" t="s">
        <v>191</v>
      </c>
      <c r="B80" s="1"/>
      <c r="C80" s="3">
        <v>202.894562</v>
      </c>
      <c r="D80" s="3">
        <v>731877.432481</v>
      </c>
      <c r="E80" s="3">
        <v>5989657.366207</v>
      </c>
      <c r="F80" s="3"/>
      <c r="G80" s="3"/>
      <c r="H80" s="1"/>
      <c r="I80" s="1"/>
      <c r="J80" s="1"/>
      <c r="K80" s="1"/>
      <c r="L80" s="1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</row>
  </sheetData>
  <autoFilter ref="$A$1:$E$1">
    <sortState ref="A1:E1">
      <sortCondition ref="B1"/>
    </sortState>
  </autoFilter>
  <conditionalFormatting sqref="BD2:BD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:BE6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2:BF6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X1:CX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2026-05-18T16:07:40Z</dcterms:created>
  <dc:creator>alex belmar</dc:creator>
</cp:coreProperties>
</file>